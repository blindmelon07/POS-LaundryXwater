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 5320\Desktop\Temporary Files\"/>
    </mc:Choice>
  </mc:AlternateContent>
  <xr:revisionPtr revIDLastSave="0" documentId="8_{457257C6-EB56-456A-9FB3-4A656F933658}" xr6:coauthVersionLast="47" xr6:coauthVersionMax="47" xr10:uidLastSave="{00000000-0000-0000-0000-000000000000}"/>
  <bookViews>
    <workbookView xWindow="-108" yWindow="-108" windowWidth="23256" windowHeight="12456" tabRatio="913" xr2:uid="{00000000-000D-0000-FFFF-FFFF00000000}"/>
  </bookViews>
  <sheets>
    <sheet name="Daily Sales Log" sheetId="1" r:id="rId1"/>
    <sheet name="Expenses Tracker" sheetId="2" r:id="rId2"/>
    <sheet name="Monthly Report" sheetId="3" r:id="rId3"/>
    <sheet name="📊 SUMMARY" sheetId="4" r:id="rId4"/>
    <sheet name="Price 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4" l="1"/>
  <c r="C24" i="4"/>
  <c r="F23" i="4"/>
  <c r="C23" i="4"/>
  <c r="F22" i="4"/>
  <c r="C22" i="4"/>
  <c r="F21" i="4"/>
  <c r="C21" i="4"/>
  <c r="F20" i="4"/>
  <c r="C20" i="4"/>
  <c r="F19" i="4"/>
  <c r="C19" i="4"/>
  <c r="F18" i="4"/>
  <c r="D18" i="4"/>
  <c r="C18" i="4"/>
  <c r="F17" i="4"/>
  <c r="C17" i="4"/>
  <c r="F16" i="4"/>
  <c r="C16" i="4"/>
  <c r="F15" i="4"/>
  <c r="C15" i="4"/>
  <c r="F14" i="4"/>
  <c r="C14" i="4"/>
  <c r="F13" i="4"/>
  <c r="F25" i="4" s="1"/>
  <c r="C13" i="4"/>
  <c r="C25" i="4" s="1"/>
  <c r="H9" i="4"/>
  <c r="B9" i="4"/>
  <c r="B7" i="4"/>
  <c r="N23" i="3"/>
  <c r="N22" i="3"/>
  <c r="N21" i="3"/>
  <c r="N20" i="3"/>
  <c r="N19" i="3"/>
  <c r="G17" i="3"/>
  <c r="E18" i="4" s="1"/>
  <c r="F17" i="3"/>
  <c r="E17" i="4" s="1"/>
  <c r="M16" i="3"/>
  <c r="M17" i="3" s="1"/>
  <c r="E24" i="4" s="1"/>
  <c r="L16" i="3"/>
  <c r="L17" i="3" s="1"/>
  <c r="E23" i="4" s="1"/>
  <c r="K16" i="3"/>
  <c r="K17" i="3" s="1"/>
  <c r="E22" i="4" s="1"/>
  <c r="G16" i="3"/>
  <c r="F16" i="3"/>
  <c r="D17" i="4" s="1"/>
  <c r="E16" i="3"/>
  <c r="E17" i="3" s="1"/>
  <c r="E16" i="4" s="1"/>
  <c r="D16" i="3"/>
  <c r="D17" i="3" s="1"/>
  <c r="E15" i="4" s="1"/>
  <c r="C16" i="3"/>
  <c r="C17" i="3" s="1"/>
  <c r="E14" i="4" s="1"/>
  <c r="M15" i="3"/>
  <c r="L15" i="3"/>
  <c r="K15" i="3"/>
  <c r="J15" i="3"/>
  <c r="J16" i="3" s="1"/>
  <c r="I15" i="3"/>
  <c r="I16" i="3" s="1"/>
  <c r="H15" i="3"/>
  <c r="H16" i="3" s="1"/>
  <c r="G15" i="3"/>
  <c r="F15" i="3"/>
  <c r="E15" i="3"/>
  <c r="D15" i="3"/>
  <c r="C15" i="3"/>
  <c r="B15" i="3"/>
  <c r="B16" i="3" s="1"/>
  <c r="N13" i="3"/>
  <c r="N12" i="3"/>
  <c r="N11" i="3"/>
  <c r="N9" i="3"/>
  <c r="N8" i="3"/>
  <c r="N7" i="3"/>
  <c r="N6" i="3"/>
  <c r="E58" i="2"/>
  <c r="H37" i="1"/>
  <c r="G37" i="1"/>
  <c r="F37" i="1"/>
  <c r="E37" i="1"/>
  <c r="D37" i="1"/>
  <c r="C37" i="1"/>
  <c r="K36" i="1"/>
  <c r="J36" i="1"/>
  <c r="I36" i="1"/>
  <c r="L36" i="1" s="1"/>
  <c r="K35" i="1"/>
  <c r="J35" i="1"/>
  <c r="I35" i="1"/>
  <c r="K34" i="1"/>
  <c r="J34" i="1"/>
  <c r="I34" i="1"/>
  <c r="L34" i="1" s="1"/>
  <c r="K33" i="1"/>
  <c r="J33" i="1"/>
  <c r="I33" i="1"/>
  <c r="K32" i="1"/>
  <c r="J32" i="1"/>
  <c r="I32" i="1"/>
  <c r="L32" i="1" s="1"/>
  <c r="K31" i="1"/>
  <c r="J31" i="1"/>
  <c r="I31" i="1"/>
  <c r="L31" i="1" s="1"/>
  <c r="K30" i="1"/>
  <c r="J30" i="1"/>
  <c r="I30" i="1"/>
  <c r="K29" i="1"/>
  <c r="J29" i="1"/>
  <c r="I29" i="1"/>
  <c r="L29" i="1" s="1"/>
  <c r="K28" i="1"/>
  <c r="J28" i="1"/>
  <c r="I28" i="1"/>
  <c r="L28" i="1" s="1"/>
  <c r="K27" i="1"/>
  <c r="J27" i="1"/>
  <c r="I27" i="1"/>
  <c r="K26" i="1"/>
  <c r="J26" i="1"/>
  <c r="I26" i="1"/>
  <c r="L26" i="1" s="1"/>
  <c r="K25" i="1"/>
  <c r="J25" i="1"/>
  <c r="I25" i="1"/>
  <c r="K24" i="1"/>
  <c r="J24" i="1"/>
  <c r="I24" i="1"/>
  <c r="L24" i="1" s="1"/>
  <c r="K23" i="1"/>
  <c r="J23" i="1"/>
  <c r="I23" i="1"/>
  <c r="L23" i="1" s="1"/>
  <c r="K22" i="1"/>
  <c r="J22" i="1"/>
  <c r="I22" i="1"/>
  <c r="K21" i="1"/>
  <c r="J21" i="1"/>
  <c r="I21" i="1"/>
  <c r="L21" i="1" s="1"/>
  <c r="K20" i="1"/>
  <c r="J20" i="1"/>
  <c r="I20" i="1"/>
  <c r="K19" i="1"/>
  <c r="J19" i="1"/>
  <c r="I19" i="1"/>
  <c r="K18" i="1"/>
  <c r="J18" i="1"/>
  <c r="I18" i="1"/>
  <c r="L18" i="1" s="1"/>
  <c r="K17" i="1"/>
  <c r="J17" i="1"/>
  <c r="I17" i="1"/>
  <c r="K16" i="1"/>
  <c r="J16" i="1"/>
  <c r="I16" i="1"/>
  <c r="L16" i="1" s="1"/>
  <c r="K15" i="1"/>
  <c r="J15" i="1"/>
  <c r="I15" i="1"/>
  <c r="L15" i="1" s="1"/>
  <c r="K14" i="1"/>
  <c r="J14" i="1"/>
  <c r="I14" i="1"/>
  <c r="K13" i="1"/>
  <c r="J13" i="1"/>
  <c r="I13" i="1"/>
  <c r="L13" i="1" s="1"/>
  <c r="K12" i="1"/>
  <c r="J12" i="1"/>
  <c r="I12" i="1"/>
  <c r="L12" i="1" s="1"/>
  <c r="K11" i="1"/>
  <c r="J11" i="1"/>
  <c r="I11" i="1"/>
  <c r="K10" i="1"/>
  <c r="J10" i="1"/>
  <c r="I10" i="1"/>
  <c r="L10" i="1" s="1"/>
  <c r="K9" i="1"/>
  <c r="J9" i="1"/>
  <c r="I9" i="1"/>
  <c r="K8" i="1"/>
  <c r="J8" i="1"/>
  <c r="I8" i="1"/>
  <c r="L8" i="1" s="1"/>
  <c r="K7" i="1"/>
  <c r="J7" i="1"/>
  <c r="I7" i="1"/>
  <c r="L7" i="1" s="1"/>
  <c r="K6" i="1"/>
  <c r="J6" i="1"/>
  <c r="I6" i="1"/>
  <c r="K37" i="1" l="1"/>
  <c r="L20" i="1"/>
  <c r="L11" i="1"/>
  <c r="L19" i="1"/>
  <c r="L27" i="1"/>
  <c r="L35" i="1"/>
  <c r="L6" i="1"/>
  <c r="L14" i="1"/>
  <c r="L22" i="1"/>
  <c r="L30" i="1"/>
  <c r="J37" i="1"/>
  <c r="L9" i="1"/>
  <c r="L17" i="1"/>
  <c r="L25" i="1"/>
  <c r="L33" i="1"/>
  <c r="I17" i="3"/>
  <c r="E20" i="4" s="1"/>
  <c r="D20" i="4"/>
  <c r="D21" i="4"/>
  <c r="J17" i="3"/>
  <c r="E21" i="4" s="1"/>
  <c r="E7" i="4"/>
  <c r="D13" i="4"/>
  <c r="B17" i="3"/>
  <c r="N16" i="3"/>
  <c r="E9" i="4" s="1"/>
  <c r="D19" i="4"/>
  <c r="H17" i="3"/>
  <c r="E19" i="4" s="1"/>
  <c r="D14" i="4"/>
  <c r="D16" i="4"/>
  <c r="D22" i="4"/>
  <c r="D24" i="4"/>
  <c r="D15" i="4"/>
  <c r="D23" i="4"/>
  <c r="I37" i="1"/>
  <c r="N15" i="3"/>
  <c r="L37" i="1" l="1"/>
  <c r="D25" i="4"/>
  <c r="E13" i="4"/>
  <c r="E25" i="4" s="1"/>
  <c r="H7" i="4"/>
  <c r="N17" i="3"/>
</calcChain>
</file>

<file path=xl/sharedStrings.xml><?xml version="1.0" encoding="utf-8"?>
<sst xmlns="http://schemas.openxmlformats.org/spreadsheetml/2006/main" count="125" uniqueCount="109">
  <si>
    <t>💧  WATER REFILLING STATION — DAILY SALES LOG</t>
  </si>
  <si>
    <t>Track every gallon sold, container returns, and daily income in one place.</t>
  </si>
  <si>
    <t>Month:</t>
  </si>
  <si>
    <t>April</t>
  </si>
  <si>
    <t>Year:</t>
  </si>
  <si>
    <t>#</t>
  </si>
  <si>
    <t>Date</t>
  </si>
  <si>
    <t>Containers
Returned</t>
  </si>
  <si>
    <t>Delivery
Fee Qty</t>
  </si>
  <si>
    <t>Other
Income</t>
  </si>
  <si>
    <t>TOTAL
SALES (₱)</t>
  </si>
  <si>
    <t>Cost of
Goods (₱)</t>
  </si>
  <si>
    <t>Operating
Expenses (₱)</t>
  </si>
  <si>
    <t>NET PROFIT
(₱)</t>
  </si>
  <si>
    <t>Notes</t>
  </si>
  <si>
    <t>📊 MONTHLY TOTALS</t>
  </si>
  <si>
    <t>ℹ️  HOW TO USE: Enter the quantity sold each day (Cols C–H). Total Sales (Col I) auto-calculates from Price List. Cost of Goods (Col J) and Operating Expenses (Col K) auto-pull from Expenses Tracker by date. Net Profit is auto-calculated.</t>
  </si>
  <si>
    <t>💧  WATER REFILLING STATION — EXPENSES TRACKER</t>
  </si>
  <si>
    <t>Record all business costs here — supplies, utilities, salaries, and more.</t>
  </si>
  <si>
    <t>📌 EXPENSE CATEGORIES: Water Supply/Chemicals | Electricity | Rent | Salaries | Packaging/Containers | Maintenance | Fuel/Delivery | Other</t>
  </si>
  <si>
    <t>Description</t>
  </si>
  <si>
    <t>Category</t>
  </si>
  <si>
    <t>Amount (₱)</t>
  </si>
  <si>
    <t>Receipt #</t>
  </si>
  <si>
    <t>📊 TOTAL EXPENSES</t>
  </si>
  <si>
    <t>💧  WATER REFILLING STATION — MONTHLY PERFORMANCE REPORT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</si>
  <si>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</si>
  <si>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</si>
  <si>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</si>
  <si>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</si>
  <si>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</si>
  <si>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</si>
  <si>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</si>
  <si>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</si>
  <si>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</si>
  <si>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</si>
  <si>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</si>
  <si>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</si>
  <si>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</si>
  <si>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</si>
  <si>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💦 Volume Sold — Slim (gal)</t>
  </si>
  <si>
    <t>💦 Volume Sold — Round (gal)</t>
  </si>
  <si>
    <t>💦 Volume Sold — Mineral (gal)</t>
  </si>
  <si>
    <t>💦 Total Gallons Sold</t>
  </si>
  <si>
    <t>💰 Total Sales Revenue (₱)</t>
  </si>
  <si>
    <t>🔻 Cost of Goods Sold (₱)</t>
  </si>
  <si>
    <t>🔻 Operating Expenses (₱)</t>
  </si>
  <si>
    <t>✅ GROSS PROFIT (₱)</t>
  </si>
  <si>
    <t>✅ NET PROFIT (₱)</t>
  </si>
  <si>
    <t>📈 Profit Margin (%)</t>
  </si>
  <si>
    <t>🧴 Containers Returned</t>
  </si>
  <si>
    <t>🚚 Delivery Trips</t>
  </si>
  <si>
    <t>📆 Operating Days</t>
  </si>
  <si>
    <t>💵 Avg Daily Revenue (₱)</t>
  </si>
  <si>
    <t>💵 Avg Daily Net Profit (₱)</t>
  </si>
  <si>
    <t>ℹ️  Enter monthly figures manually in each column (Jan–Dec). Full Year column sums/averages automatically.</t>
  </si>
  <si>
    <t>💧  WATER REFILLING STATION — BUSINESS SUMMARY DASHBOARD</t>
  </si>
  <si>
    <t>Quick overview of your business performance — update the Monthly Report sheet to see changes here.</t>
  </si>
  <si>
    <t>📅 This Month's Revenue</t>
  </si>
  <si>
    <t>📅 This Month's Net Profit</t>
  </si>
  <si>
    <t>📅 Profit Margin</t>
  </si>
  <si>
    <t>📊 Full Year Revenue</t>
  </si>
  <si>
    <t>📊 Full Year Net Profit</t>
  </si>
  <si>
    <t>📊 Total Gallons Sold (Year)</t>
  </si>
  <si>
    <t>📈 MONTHLY BREAKDOWN</t>
  </si>
  <si>
    <t>Month</t>
  </si>
  <si>
    <t>Total Sales (₱)</t>
  </si>
  <si>
    <t>Net Profit (₱)</t>
  </si>
  <si>
    <t>Profit Margin</t>
  </si>
  <si>
    <t>Gallons Sold</t>
  </si>
  <si>
    <t>January</t>
  </si>
  <si>
    <t>February</t>
  </si>
  <si>
    <t>March</t>
  </si>
  <si>
    <t>June</t>
  </si>
  <si>
    <t>July</t>
  </si>
  <si>
    <t>August</t>
  </si>
  <si>
    <t>September</t>
  </si>
  <si>
    <t>October</t>
  </si>
  <si>
    <t>November</t>
  </si>
  <si>
    <t>December</t>
  </si>
  <si>
    <t>🏁 FULL YEAR TOTAL / AVG</t>
  </si>
  <si>
    <t>📌 HOW TO USE THIS WORKBOOK</t>
  </si>
  <si>
    <t>1️⃣  Daily Sales Log</t>
  </si>
  <si>
    <t>Go here every day and enter gallons sold (Slim, Round, Mineral), containers returned, deliveries, and other income. Also input your daily cost of goods and expenses.</t>
  </si>
  <si>
    <t>2️⃣  Expenses Tracker</t>
  </si>
  <si>
    <t>Log every peso you spend — water supply, electricity, rent, salaries, packaging, and other costs. One row per expense, with the date and category.</t>
  </si>
  <si>
    <t>3️⃣  Monthly Report</t>
  </si>
  <si>
    <t>At month-end, summarize totals from the Daily Sales Log and Expenses into the corresponding month column. Formulas will auto-calculate profit and margin.</t>
  </si>
  <si>
    <t>4️⃣  📊 SUMMARY (here)</t>
  </si>
  <si>
    <t>This dashboard reads from the Monthly Report automatically. Your KPI cards update as soon as you fill in the Monthly Report. Share this sheet with your partners or investors for a quick overview.</t>
  </si>
  <si>
    <t>💧  WATER REFILLING STATION — PRICE LIST</t>
  </si>
  <si>
    <t>Product / Service</t>
  </si>
  <si>
    <t>Price (₱)</t>
  </si>
  <si>
    <t>Unit</t>
  </si>
  <si>
    <t>Per gallon</t>
  </si>
  <si>
    <t>Refill only</t>
  </si>
  <si>
    <t>Container Deposit (Slim)</t>
  </si>
  <si>
    <t>Per container</t>
  </si>
  <si>
    <t>Refundable</t>
  </si>
  <si>
    <t>Container Deposit (Round)</t>
  </si>
  <si>
    <t>Delivery Fee</t>
  </si>
  <si>
    <t>Per trip</t>
  </si>
  <si>
    <t>Within delivery area</t>
  </si>
  <si>
    <t>Other / Special Order</t>
  </si>
  <si>
    <t>Per unit</t>
  </si>
  <si>
    <t>Negotiable</t>
  </si>
  <si>
    <t>Slim/Round Regular</t>
  </si>
  <si>
    <t>Slim/Round Wholesale</t>
  </si>
  <si>
    <t>Slim/Round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</si>
</sst>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#,##0;\(#,##0\);\-"/>
    <numFmt numFmtId="166" formatCode="\₱#,##0.00;&quot;(₱&quot;#,##0.00\);\-"/>
    <numFmt numFmtId="167" formatCode="0.0%;\-0.0%;\-"/>
    <numFmt numFmtId="168" formatCode="\₱#,##0.00"/>
    <numFmt numFmtId="169" formatCode="0.0%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565C0"/>
      <name val="Arial"/>
      <charset val="1"/>
    </font>
    <font>
      <b/>
      <sz val="10"/>
      <color rgb="FF000000"/>
      <name val="Arial"/>
      <charset val="1"/>
    </font>
    <font>
      <b/>
      <sz val="10"/>
      <color rgb="FF1565C0"/>
      <name val="Arial"/>
      <charset val="1"/>
    </font>
    <font>
      <b/>
      <sz val="9"/>
      <color rgb="FFFFFFFF"/>
      <name val="Arial"/>
      <charset val="1"/>
    </font>
    <font>
      <sz val="10"/>
      <color rgb="FF424242"/>
      <name val="Arial"/>
      <charset val="1"/>
    </font>
    <font>
      <sz val="11"/>
      <color rgb="FF008000"/>
      <name val="Cambria"/>
      <charset val="1"/>
    </font>
    <font>
      <sz val="11"/>
      <color rgb="FF000000"/>
      <name val="Cambria"/>
      <charset val="1"/>
    </font>
    <font>
      <b/>
      <sz val="10"/>
      <color rgb="FFFFFFFF"/>
      <name val="Arial"/>
      <charset val="1"/>
    </font>
    <font>
      <i/>
      <sz val="9"/>
      <color rgb="FFE65100"/>
      <name val="Arial"/>
      <charset val="1"/>
    </font>
    <font>
      <i/>
      <sz val="9"/>
      <color rgb="FF424242"/>
      <name val="Arial"/>
      <charset val="1"/>
    </font>
    <font>
      <b/>
      <sz val="11"/>
      <color rgb="FFFFFFFF"/>
      <name val="Arial"/>
      <charset val="1"/>
    </font>
    <font>
      <b/>
      <sz val="10"/>
      <color rgb="FF2E7D32"/>
      <name val="Arial"/>
      <charset val="1"/>
    </font>
    <font>
      <i/>
      <sz val="9"/>
      <color rgb="FF2E7D32"/>
      <name val="Arial"/>
      <charset val="1"/>
    </font>
    <font>
      <b/>
      <sz val="16"/>
      <color rgb="FFFFFFFF"/>
      <name val="Arial"/>
      <charset val="1"/>
    </font>
    <font>
      <i/>
      <sz val="10"/>
      <color rgb="FF1565C0"/>
      <name val="Arial"/>
      <charset val="1"/>
    </font>
    <font>
      <sz val="10"/>
      <color rgb="FF000000"/>
      <name val="Arial"/>
      <charset val="1"/>
    </font>
    <font>
      <sz val="10"/>
      <color rgb="FF1565C0"/>
      <name val="Arial"/>
      <charset val="1"/>
    </font>
    <font>
      <sz val="9"/>
      <color rgb="FF424242"/>
      <name val="Arial"/>
      <charset val="1"/>
    </font>
    <font>
      <sz val="9"/>
      <color rgb="FF000000"/>
      <name val="Arial"/>
      <charset val="1"/>
    </font>
    <font>
      <sz val="9"/>
      <color rgb="FF757575"/>
      <name val="Arial"/>
      <charset val="1"/>
    </font>
    <font>
      <i/>
      <sz val="9"/>
      <color rgb="FF757575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565C0"/>
        <bgColor rgb="FF01579B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1E88E5"/>
        <bgColor rgb="FF0288D1"/>
      </patternFill>
    </fill>
    <fill>
      <patternFill patternType="solid">
        <fgColor rgb="FFFFFFFF"/>
        <bgColor rgb="FFF5F5F5"/>
      </patternFill>
    </fill>
    <fill>
      <patternFill patternType="solid">
        <fgColor rgb="FFBBDEFB"/>
        <bgColor rgb="FFD6EAF8"/>
      </patternFill>
    </fill>
    <fill>
      <patternFill patternType="solid">
        <fgColor rgb="FFC8E6C9"/>
        <bgColor rgb="FFD6EAF8"/>
      </patternFill>
    </fill>
    <fill>
      <patternFill patternType="solid">
        <fgColor rgb="FFF5F5F5"/>
        <bgColor rgb="FFE8F5E9"/>
      </patternFill>
    </fill>
    <fill>
      <patternFill patternType="solid">
        <fgColor rgb="FFD6EAF8"/>
        <bgColor rgb="FFE3F2FD"/>
      </patternFill>
    </fill>
    <fill>
      <patternFill patternType="solid">
        <fgColor rgb="FFA5D6A7"/>
        <bgColor rgb="FFBDBDBD"/>
      </patternFill>
    </fill>
    <fill>
      <patternFill patternType="solid">
        <fgColor rgb="FFE65100"/>
        <bgColor rgb="FF993300"/>
      </patternFill>
    </fill>
    <fill>
      <patternFill patternType="solid">
        <fgColor rgb="FFFFF3E0"/>
        <bgColor rgb="FFF5F5F5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3F2FD"/>
      </patternFill>
    </fill>
    <fill>
      <patternFill patternType="solid">
        <fgColor rgb="FF0288D1"/>
        <bgColor rgb="FF1E88E5"/>
      </patternFill>
    </fill>
    <fill>
      <patternFill patternType="solid">
        <fgColor rgb="FF01579B"/>
        <bgColor rgb="FF1565C0"/>
      </patternFill>
    </fill>
  </fills>
  <borders count="5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horizontal="right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6" fontId="0" fillId="6" borderId="2" xfId="0" applyNumberFormat="1" applyFill="1" applyBorder="1" applyAlignment="1">
      <alignment horizontal="center" vertical="center"/>
    </xf>
    <xf numFmtId="166" fontId="7" fillId="7" borderId="2" xfId="0" applyNumberFormat="1" applyFont="1" applyFill="1" applyBorder="1" applyAlignment="1">
      <alignment horizontal="center" vertical="center"/>
    </xf>
    <xf numFmtId="166" fontId="7" fillId="6" borderId="2" xfId="0" applyNumberFormat="1" applyFont="1" applyFill="1" applyBorder="1" applyAlignment="1">
      <alignment horizontal="center" vertical="center"/>
    </xf>
    <xf numFmtId="166" fontId="8" fillId="8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5" fontId="0" fillId="9" borderId="2" xfId="0" applyNumberFormat="1" applyFill="1" applyBorder="1" applyAlignment="1">
      <alignment horizontal="center" vertical="center"/>
    </xf>
    <xf numFmtId="166" fontId="0" fillId="9" borderId="2" xfId="0" applyNumberFormat="1" applyFill="1" applyBorder="1" applyAlignment="1">
      <alignment horizontal="center" vertical="center"/>
    </xf>
    <xf numFmtId="166" fontId="7" fillId="10" borderId="2" xfId="0" applyNumberFormat="1" applyFont="1" applyFill="1" applyBorder="1" applyAlignment="1">
      <alignment horizontal="center" vertical="center"/>
    </xf>
    <xf numFmtId="166" fontId="7" fillId="9" borderId="2" xfId="0" applyNumberFormat="1" applyFont="1" applyFill="1" applyBorder="1" applyAlignment="1">
      <alignment horizontal="center" vertical="center"/>
    </xf>
    <xf numFmtId="166" fontId="8" fillId="11" borderId="2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3" xfId="0" applyBorder="1"/>
    <xf numFmtId="165" fontId="9" fillId="2" borderId="2" xfId="0" applyNumberFormat="1" applyFont="1" applyFill="1" applyBorder="1" applyAlignment="1">
      <alignment horizontal="center" vertical="center"/>
    </xf>
    <xf numFmtId="166" fontId="9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0" xfId="0" applyFont="1" applyFill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166" fontId="12" fillId="12" borderId="2" xfId="0" applyNumberFormat="1" applyFont="1" applyFill="1" applyBorder="1" applyAlignment="1">
      <alignment horizontal="center" vertical="center"/>
    </xf>
    <xf numFmtId="0" fontId="0" fillId="12" borderId="2" xfId="0" applyFill="1" applyBorder="1"/>
    <xf numFmtId="0" fontId="6" fillId="9" borderId="2" xfId="0" applyFont="1" applyFill="1" applyBorder="1" applyAlignment="1">
      <alignment horizontal="left" vertical="center"/>
    </xf>
    <xf numFmtId="165" fontId="6" fillId="9" borderId="2" xfId="0" applyNumberFormat="1" applyFont="1" applyFill="1" applyBorder="1" applyAlignment="1">
      <alignment horizontal="center" vertical="center"/>
    </xf>
    <xf numFmtId="165" fontId="13" fillId="8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165" fontId="6" fillId="6" borderId="2" xfId="0" applyNumberFormat="1" applyFont="1" applyFill="1" applyBorder="1" applyAlignment="1">
      <alignment horizontal="center" vertical="center"/>
    </xf>
    <xf numFmtId="0" fontId="0" fillId="15" borderId="2" xfId="0" applyFill="1" applyBorder="1"/>
    <xf numFmtId="166" fontId="6" fillId="6" borderId="2" xfId="0" applyNumberFormat="1" applyFont="1" applyFill="1" applyBorder="1" applyAlignment="1">
      <alignment horizontal="center" vertical="center"/>
    </xf>
    <xf numFmtId="166" fontId="13" fillId="8" borderId="2" xfId="0" applyNumberFormat="1" applyFont="1" applyFill="1" applyBorder="1" applyAlignment="1">
      <alignment horizontal="center" vertical="center"/>
    </xf>
    <xf numFmtId="166" fontId="6" fillId="9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left" vertical="center"/>
    </xf>
    <xf numFmtId="166" fontId="9" fillId="14" borderId="2" xfId="0" applyNumberFormat="1" applyFont="1" applyFill="1" applyBorder="1" applyAlignment="1">
      <alignment horizontal="center" vertical="center"/>
    </xf>
    <xf numFmtId="167" fontId="6" fillId="6" borderId="2" xfId="0" applyNumberFormat="1" applyFont="1" applyFill="1" applyBorder="1" applyAlignment="1">
      <alignment horizontal="center" vertical="center"/>
    </xf>
    <xf numFmtId="167" fontId="13" fillId="8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/>
    </xf>
    <xf numFmtId="166" fontId="18" fillId="6" borderId="2" xfId="0" applyNumberFormat="1" applyFont="1" applyFill="1" applyBorder="1" applyAlignment="1">
      <alignment horizontal="center" vertical="center"/>
    </xf>
    <xf numFmtId="166" fontId="13" fillId="6" borderId="2" xfId="0" applyNumberFormat="1" applyFont="1" applyFill="1" applyBorder="1" applyAlignment="1">
      <alignment horizontal="center" vertical="center"/>
    </xf>
    <xf numFmtId="167" fontId="17" fillId="6" borderId="2" xfId="0" applyNumberFormat="1" applyFont="1" applyFill="1" applyBorder="1" applyAlignment="1">
      <alignment horizontal="center" vertical="center"/>
    </xf>
    <xf numFmtId="165" fontId="17" fillId="6" borderId="2" xfId="0" applyNumberFormat="1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left" vertical="center"/>
    </xf>
    <xf numFmtId="166" fontId="18" fillId="9" borderId="2" xfId="0" applyNumberFormat="1" applyFont="1" applyFill="1" applyBorder="1" applyAlignment="1">
      <alignment horizontal="center" vertical="center"/>
    </xf>
    <xf numFmtId="166" fontId="13" fillId="9" borderId="2" xfId="0" applyNumberFormat="1" applyFont="1" applyFill="1" applyBorder="1" applyAlignment="1">
      <alignment horizontal="center" vertical="center"/>
    </xf>
    <xf numFmtId="167" fontId="17" fillId="9" borderId="2" xfId="0" applyNumberFormat="1" applyFont="1" applyFill="1" applyBorder="1" applyAlignment="1">
      <alignment horizontal="center" vertical="center"/>
    </xf>
    <xf numFmtId="165" fontId="17" fillId="9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67" fontId="9" fillId="2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68" fontId="4" fillId="6" borderId="2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left" vertical="center"/>
    </xf>
    <xf numFmtId="0" fontId="20" fillId="9" borderId="2" xfId="0" applyFont="1" applyFill="1" applyBorder="1" applyAlignment="1">
      <alignment horizontal="center" vertical="center"/>
    </xf>
    <xf numFmtId="168" fontId="4" fillId="9" borderId="2" xfId="0" applyNumberFormat="1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8" fontId="15" fillId="2" borderId="2" xfId="0" applyNumberFormat="1" applyFont="1" applyFill="1" applyBorder="1" applyAlignment="1">
      <alignment horizontal="center" vertical="center"/>
    </xf>
    <xf numFmtId="168" fontId="15" fillId="14" borderId="2" xfId="0" applyNumberFormat="1" applyFont="1" applyFill="1" applyBorder="1" applyAlignment="1">
      <alignment horizontal="center" vertical="center"/>
    </xf>
    <xf numFmtId="169" fontId="15" fillId="17" borderId="2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3" fontId="15" fillId="17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8D1"/>
      <rgbColor rgb="FFBDBDBD"/>
      <rgbColor rgb="FF757575"/>
      <rgbColor rgb="FF9999FF"/>
      <rgbColor rgb="FF993366"/>
      <rgbColor rgb="FFFFF9C4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1579B"/>
      <rgbColor rgb="FF0000FF"/>
      <rgbColor rgb="FF00CCFF"/>
      <rgbColor rgb="FFD6EAF8"/>
      <rgbColor rgb="FFC8E6C9"/>
      <rgbColor rgb="FFFFF3E0"/>
      <rgbColor rgb="FFA5D6A7"/>
      <rgbColor rgb="FFF5F5F5"/>
      <rgbColor rgb="FFCC99FF"/>
      <rgbColor rgb="FFE8F5E9"/>
      <rgbColor rgb="FF1E88E5"/>
      <rgbColor rgb="FF33CCCC"/>
      <rgbColor rgb="FF99CC00"/>
      <rgbColor rgb="FFFFCC00"/>
      <rgbColor rgb="FFF9A825"/>
      <rgbColor rgb="FFE651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M119"/>
  <sheetViews>
    <sheetView showGridLines="0" tabSelected="1" zoomScale="80" zoomScaleNormal="80" workbookViewId="0">
      <pane ySplit="7" topLeftCell="A8" activePane="bottomLeft" state="frozen"/>
      <selection pane="bottomLeft" activeCell="S13" sqref="S13"/>
    </sheetView>
  </sheetViews>
  <sheetFormatPr defaultColWidth="8.6640625" defaultRowHeight="14.4" x14ac:dyDescent="0.3"/>
  <cols>
    <col min="1" max="1" width="5" customWidth="1"/>
    <col min="2" max="2" width="14" customWidth="1"/>
    <col min="3" max="3" width="16" customWidth="1"/>
    <col min="4" max="10" width="14" customWidth="1"/>
    <col min="11" max="13" width="16" customWidth="1"/>
  </cols>
  <sheetData>
    <row r="1" spans="1:13" ht="21.75" customHeight="1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21.75" customHeight="1" x14ac:dyDescent="0.3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ht="21.75" customHeight="1" x14ac:dyDescent="0.3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x14ac:dyDescent="0.3">
      <c r="A4" s="67" t="s">
        <v>2</v>
      </c>
      <c r="B4" s="67"/>
      <c r="C4" s="67"/>
      <c r="D4" s="68" t="s">
        <v>3</v>
      </c>
      <c r="E4" s="68"/>
      <c r="F4" s="1" t="s">
        <v>4</v>
      </c>
      <c r="G4" s="69">
        <v>2026</v>
      </c>
      <c r="H4" s="69"/>
    </row>
    <row r="5" spans="1:13" ht="24" x14ac:dyDescent="0.3">
      <c r="A5" s="2" t="s">
        <v>5</v>
      </c>
      <c r="B5" s="2" t="s">
        <v>6</v>
      </c>
      <c r="C5" s="2" t="s">
        <v>107</v>
      </c>
      <c r="D5" s="2" t="s">
        <v>106</v>
      </c>
      <c r="E5" s="2" t="s">
        <v>108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 spans="1:13" x14ac:dyDescent="0.3">
      <c r="A6" s="3">
        <v>1</v>
      </c>
      <c r="B6" s="4"/>
      <c r="C6" s="5"/>
      <c r="D6" s="5"/>
      <c r="E6" s="5"/>
      <c r="F6" s="5"/>
      <c r="G6" s="5"/>
      <c r="H6" s="6"/>
      <c r="I6" s="7">
        <f>IFERROR(C6*'Price List'!$C$4+D6*'Price List'!$C$5+E6*'Price List'!$C$6+F6*'Price List'!$C$7+G6*'Price List'!$C$9+H6,0)</f>
        <v>0</v>
      </c>
      <c r="J6" s="8">
        <f>IFERROR(SUMPRODUCT(('Expenses Tracker'!$B$8:$B$57=B6)*('Expenses Tracker'!$D$8:$D$57="Water Supply/Chemicals")*('Expenses Tracker'!$E$8:$E$57)),0)</f>
        <v>0</v>
      </c>
      <c r="K6" s="8">
        <f>IFERROR(SUMPRODUCT(('Expenses Tracker'!$B$8:$B$57=B6)*('Expenses Tracker'!$D$8:$D$57&lt;&gt;"Water Supply/Chemicals")*('Expenses Tracker'!$E$8:$E$57)),0)</f>
        <v>0</v>
      </c>
      <c r="L6" s="9">
        <f t="shared" ref="L6:L36" si="0">IFERROR(I6-J6-K6,0)</f>
        <v>0</v>
      </c>
      <c r="M6" s="10"/>
    </row>
    <row r="7" spans="1:13" x14ac:dyDescent="0.3">
      <c r="A7" s="11">
        <v>2</v>
      </c>
      <c r="B7" s="12"/>
      <c r="C7" s="13"/>
      <c r="D7" s="13"/>
      <c r="E7" s="13"/>
      <c r="F7" s="13"/>
      <c r="G7" s="13"/>
      <c r="H7" s="14"/>
      <c r="I7" s="15">
        <f>IFERROR(C7*'Price List'!$C$4+D7*'Price List'!$C$5+E7*'Price List'!$C$6+F7*'Price List'!$C$7+G7*'Price List'!$C$9+H7,0)</f>
        <v>0</v>
      </c>
      <c r="J7" s="16">
        <f>IFERROR(SUMPRODUCT(('Expenses Tracker'!$B$8:$B$57=B7)*('Expenses Tracker'!$D$8:$D$57="Water Supply/Chemicals")*('Expenses Tracker'!$E$8:$E$57)),0)</f>
        <v>0</v>
      </c>
      <c r="K7" s="16">
        <f>IFERROR(SUMPRODUCT(('Expenses Tracker'!$B$8:$B$57=B7)*('Expenses Tracker'!$D$8:$D$57&lt;&gt;"Water Supply/Chemicals")*('Expenses Tracker'!$E$8:$E$57)),0)</f>
        <v>0</v>
      </c>
      <c r="L7" s="17">
        <f t="shared" si="0"/>
        <v>0</v>
      </c>
      <c r="M7" s="18"/>
    </row>
    <row r="8" spans="1:13" x14ac:dyDescent="0.3">
      <c r="A8" s="3">
        <v>3</v>
      </c>
      <c r="B8" s="4"/>
      <c r="C8" s="5"/>
      <c r="D8" s="5"/>
      <c r="E8" s="5"/>
      <c r="F8" s="5"/>
      <c r="G8" s="5"/>
      <c r="H8" s="6"/>
      <c r="I8" s="7">
        <f>IFERROR(C8*'Price List'!$C$4+D8*'Price List'!$C$5+E8*'Price List'!$C$6+F8*'Price List'!$C$7+G8*'Price List'!$C$9+H8,0)</f>
        <v>0</v>
      </c>
      <c r="J8" s="8">
        <f>IFERROR(SUMPRODUCT(('Expenses Tracker'!$B$8:$B$57=B8)*('Expenses Tracker'!$D$8:$D$57="Water Supply/Chemicals")*('Expenses Tracker'!$E$8:$E$57)),0)</f>
        <v>0</v>
      </c>
      <c r="K8" s="8">
        <f>IFERROR(SUMPRODUCT(('Expenses Tracker'!$B$8:$B$57=B8)*('Expenses Tracker'!$D$8:$D$57&lt;&gt;"Water Supply/Chemicals")*('Expenses Tracker'!$E$8:$E$57)),0)</f>
        <v>0</v>
      </c>
      <c r="L8" s="9">
        <f t="shared" si="0"/>
        <v>0</v>
      </c>
      <c r="M8" s="10"/>
    </row>
    <row r="9" spans="1:13" x14ac:dyDescent="0.3">
      <c r="A9" s="11">
        <v>4</v>
      </c>
      <c r="B9" s="12"/>
      <c r="C9" s="13"/>
      <c r="D9" s="13"/>
      <c r="E9" s="13"/>
      <c r="F9" s="13"/>
      <c r="G9" s="13"/>
      <c r="H9" s="14"/>
      <c r="I9" s="15">
        <f>IFERROR(C9*'Price List'!$C$4+D9*'Price List'!$C$5+E9*'Price List'!$C$6+F9*'Price List'!$C$7+G9*'Price List'!$C$9+H9,0)</f>
        <v>0</v>
      </c>
      <c r="J9" s="16">
        <f>IFERROR(SUMPRODUCT(('Expenses Tracker'!$B$8:$B$57=B9)*('Expenses Tracker'!$D$8:$D$57="Water Supply/Chemicals")*('Expenses Tracker'!$E$8:$E$57)),0)</f>
        <v>0</v>
      </c>
      <c r="K9" s="16">
        <f>IFERROR(SUMPRODUCT(('Expenses Tracker'!$B$8:$B$57=B9)*('Expenses Tracker'!$D$8:$D$57&lt;&gt;"Water Supply/Chemicals")*('Expenses Tracker'!$E$8:$E$57)),0)</f>
        <v>0</v>
      </c>
      <c r="L9" s="17">
        <f t="shared" si="0"/>
        <v>0</v>
      </c>
      <c r="M9" s="18"/>
    </row>
    <row r="10" spans="1:13" x14ac:dyDescent="0.3">
      <c r="A10" s="3">
        <v>5</v>
      </c>
      <c r="B10" s="4"/>
      <c r="C10" s="5"/>
      <c r="D10" s="5"/>
      <c r="E10" s="5"/>
      <c r="F10" s="5"/>
      <c r="G10" s="5"/>
      <c r="H10" s="6"/>
      <c r="I10" s="7">
        <f>IFERROR(C10*'Price List'!$C$4+D10*'Price List'!$C$5+E10*'Price List'!$C$6+F10*'Price List'!$C$7+G10*'Price List'!$C$9+H10,0)</f>
        <v>0</v>
      </c>
      <c r="J10" s="8">
        <f>IFERROR(SUMPRODUCT(('Expenses Tracker'!$B$8:$B$57=B10)*('Expenses Tracker'!$D$8:$D$57="Water Supply/Chemicals")*('Expenses Tracker'!$E$8:$E$57)),0)</f>
        <v>0</v>
      </c>
      <c r="K10" s="8">
        <f>IFERROR(SUMPRODUCT(('Expenses Tracker'!$B$8:$B$57=B10)*('Expenses Tracker'!$D$8:$D$57&lt;&gt;"Water Supply/Chemicals")*('Expenses Tracker'!$E$8:$E$57)),0)</f>
        <v>0</v>
      </c>
      <c r="L10" s="9">
        <f t="shared" si="0"/>
        <v>0</v>
      </c>
      <c r="M10" s="10"/>
    </row>
    <row r="11" spans="1:13" x14ac:dyDescent="0.3">
      <c r="A11" s="11">
        <v>6</v>
      </c>
      <c r="B11" s="12"/>
      <c r="C11" s="13"/>
      <c r="D11" s="13"/>
      <c r="E11" s="13"/>
      <c r="F11" s="13"/>
      <c r="G11" s="13"/>
      <c r="H11" s="14"/>
      <c r="I11" s="15">
        <f>IFERROR(C11*'Price List'!$C$4+D11*'Price List'!$C$5+E11*'Price List'!$C$6+F11*'Price List'!$C$7+G11*'Price List'!$C$9+H11,0)</f>
        <v>0</v>
      </c>
      <c r="J11" s="16">
        <f>IFERROR(SUMPRODUCT(('Expenses Tracker'!$B$8:$B$57=B11)*('Expenses Tracker'!$D$8:$D$57="Water Supply/Chemicals")*('Expenses Tracker'!$E$8:$E$57)),0)</f>
        <v>0</v>
      </c>
      <c r="K11" s="16">
        <f>IFERROR(SUMPRODUCT(('Expenses Tracker'!$B$8:$B$57=B11)*('Expenses Tracker'!$D$8:$D$57&lt;&gt;"Water Supply/Chemicals")*('Expenses Tracker'!$E$8:$E$57)),0)</f>
        <v>0</v>
      </c>
      <c r="L11" s="17">
        <f t="shared" si="0"/>
        <v>0</v>
      </c>
      <c r="M11" s="18"/>
    </row>
    <row r="12" spans="1:13" x14ac:dyDescent="0.3">
      <c r="A12" s="3">
        <v>7</v>
      </c>
      <c r="B12" s="4"/>
      <c r="C12" s="5"/>
      <c r="D12" s="5"/>
      <c r="E12" s="5"/>
      <c r="F12" s="5"/>
      <c r="G12" s="5"/>
      <c r="H12" s="6"/>
      <c r="I12" s="7">
        <f>IFERROR(C12*'Price List'!$C$4+D12*'Price List'!$C$5+E12*'Price List'!$C$6+F12*'Price List'!$C$7+G12*'Price List'!$C$9+H12,0)</f>
        <v>0</v>
      </c>
      <c r="J12" s="8">
        <f>IFERROR(SUMPRODUCT(('Expenses Tracker'!$B$8:$B$57=B12)*('Expenses Tracker'!$D$8:$D$57="Water Supply/Chemicals")*('Expenses Tracker'!$E$8:$E$57)),0)</f>
        <v>0</v>
      </c>
      <c r="K12" s="8">
        <f>IFERROR(SUMPRODUCT(('Expenses Tracker'!$B$8:$B$57=B12)*('Expenses Tracker'!$D$8:$D$57&lt;&gt;"Water Supply/Chemicals")*('Expenses Tracker'!$E$8:$E$57)),0)</f>
        <v>0</v>
      </c>
      <c r="L12" s="9">
        <f t="shared" si="0"/>
        <v>0</v>
      </c>
      <c r="M12" s="10"/>
    </row>
    <row r="13" spans="1:13" x14ac:dyDescent="0.3">
      <c r="A13" s="11">
        <v>8</v>
      </c>
      <c r="B13" s="12"/>
      <c r="C13" s="13"/>
      <c r="D13" s="13"/>
      <c r="E13" s="13"/>
      <c r="F13" s="13"/>
      <c r="G13" s="13"/>
      <c r="H13" s="14"/>
      <c r="I13" s="15">
        <f>IFERROR(C13*'Price List'!$C$4+D13*'Price List'!$C$5+E13*'Price List'!$C$6+F13*'Price List'!$C$7+G13*'Price List'!$C$9+H13,0)</f>
        <v>0</v>
      </c>
      <c r="J13" s="16">
        <f>IFERROR(SUMPRODUCT(('Expenses Tracker'!$B$8:$B$57=B13)*('Expenses Tracker'!$D$8:$D$57="Water Supply/Chemicals")*('Expenses Tracker'!$E$8:$E$57)),0)</f>
        <v>0</v>
      </c>
      <c r="K13" s="16">
        <f>IFERROR(SUMPRODUCT(('Expenses Tracker'!$B$8:$B$57=B13)*('Expenses Tracker'!$D$8:$D$57&lt;&gt;"Water Supply/Chemicals")*('Expenses Tracker'!$E$8:$E$57)),0)</f>
        <v>0</v>
      </c>
      <c r="L13" s="17">
        <f t="shared" si="0"/>
        <v>0</v>
      </c>
      <c r="M13" s="18"/>
    </row>
    <row r="14" spans="1:13" x14ac:dyDescent="0.3">
      <c r="A14" s="3">
        <v>9</v>
      </c>
      <c r="B14" s="4"/>
      <c r="C14" s="5"/>
      <c r="D14" s="5"/>
      <c r="E14" s="5"/>
      <c r="F14" s="5"/>
      <c r="G14" s="5"/>
      <c r="H14" s="6"/>
      <c r="I14" s="7">
        <f>IFERROR(C14*'Price List'!$C$4+D14*'Price List'!$C$5+E14*'Price List'!$C$6+F14*'Price List'!$C$7+G14*'Price List'!$C$9+H14,0)</f>
        <v>0</v>
      </c>
      <c r="J14" s="8">
        <f>IFERROR(SUMPRODUCT(('Expenses Tracker'!$B$8:$B$57=B14)*('Expenses Tracker'!$D$8:$D$57="Water Supply/Chemicals")*('Expenses Tracker'!$E$8:$E$57)),0)</f>
        <v>0</v>
      </c>
      <c r="K14" s="8">
        <f>IFERROR(SUMPRODUCT(('Expenses Tracker'!$B$8:$B$57=B14)*('Expenses Tracker'!$D$8:$D$57&lt;&gt;"Water Supply/Chemicals")*('Expenses Tracker'!$E$8:$E$57)),0)</f>
        <v>0</v>
      </c>
      <c r="L14" s="9">
        <f t="shared" si="0"/>
        <v>0</v>
      </c>
      <c r="M14" s="10"/>
    </row>
    <row r="15" spans="1:13" x14ac:dyDescent="0.3">
      <c r="A15" s="11">
        <v>10</v>
      </c>
      <c r="B15" s="12"/>
      <c r="C15" s="13"/>
      <c r="D15" s="13"/>
      <c r="E15" s="13"/>
      <c r="F15" s="13"/>
      <c r="G15" s="13"/>
      <c r="H15" s="14"/>
      <c r="I15" s="15">
        <f>IFERROR(C15*'Price List'!$C$4+D15*'Price List'!$C$5+E15*'Price List'!$C$6+F15*'Price List'!$C$7+G15*'Price List'!$C$9+H15,0)</f>
        <v>0</v>
      </c>
      <c r="J15" s="16">
        <f>IFERROR(SUMPRODUCT(('Expenses Tracker'!$B$8:$B$57=B15)*('Expenses Tracker'!$D$8:$D$57="Water Supply/Chemicals")*('Expenses Tracker'!$E$8:$E$57)),0)</f>
        <v>0</v>
      </c>
      <c r="K15" s="16">
        <f>IFERROR(SUMPRODUCT(('Expenses Tracker'!$B$8:$B$57=B15)*('Expenses Tracker'!$D$8:$D$57&lt;&gt;"Water Supply/Chemicals")*('Expenses Tracker'!$E$8:$E$57)),0)</f>
        <v>0</v>
      </c>
      <c r="L15" s="17">
        <f t="shared" si="0"/>
        <v>0</v>
      </c>
      <c r="M15" s="18"/>
    </row>
    <row r="16" spans="1:13" x14ac:dyDescent="0.3">
      <c r="A16" s="3">
        <v>11</v>
      </c>
      <c r="B16" s="4"/>
      <c r="C16" s="5"/>
      <c r="D16" s="5"/>
      <c r="E16" s="5"/>
      <c r="F16" s="5"/>
      <c r="G16" s="5"/>
      <c r="H16" s="6"/>
      <c r="I16" s="7">
        <f>IFERROR(C16*'Price List'!$C$4+D16*'Price List'!$C$5+E16*'Price List'!$C$6+F16*'Price List'!$C$7+G16*'Price List'!$C$9+H16,0)</f>
        <v>0</v>
      </c>
      <c r="J16" s="8">
        <f>IFERROR(SUMPRODUCT(('Expenses Tracker'!$B$8:$B$57=B16)*('Expenses Tracker'!$D$8:$D$57="Water Supply/Chemicals")*('Expenses Tracker'!$E$8:$E$57)),0)</f>
        <v>0</v>
      </c>
      <c r="K16" s="8">
        <f>IFERROR(SUMPRODUCT(('Expenses Tracker'!$B$8:$B$57=B16)*('Expenses Tracker'!$D$8:$D$57&lt;&gt;"Water Supply/Chemicals")*('Expenses Tracker'!$E$8:$E$57)),0)</f>
        <v>0</v>
      </c>
      <c r="L16" s="9">
        <f t="shared" si="0"/>
        <v>0</v>
      </c>
      <c r="M16" s="10"/>
    </row>
    <row r="17" spans="1:13" x14ac:dyDescent="0.3">
      <c r="A17" s="11">
        <v>12</v>
      </c>
      <c r="B17" s="12"/>
      <c r="C17" s="13"/>
      <c r="D17" s="13"/>
      <c r="E17" s="13"/>
      <c r="F17" s="13"/>
      <c r="G17" s="13"/>
      <c r="H17" s="14"/>
      <c r="I17" s="15">
        <f>IFERROR(C17*'Price List'!$C$4+D17*'Price List'!$C$5+E17*'Price List'!$C$6+F17*'Price List'!$C$7+G17*'Price List'!$C$9+H17,0)</f>
        <v>0</v>
      </c>
      <c r="J17" s="16">
        <f>IFERROR(SUMPRODUCT(('Expenses Tracker'!$B$8:$B$57=B17)*('Expenses Tracker'!$D$8:$D$57="Water Supply/Chemicals")*('Expenses Tracker'!$E$8:$E$57)),0)</f>
        <v>0</v>
      </c>
      <c r="K17" s="16">
        <f>IFERROR(SUMPRODUCT(('Expenses Tracker'!$B$8:$B$57=B17)*('Expenses Tracker'!$D$8:$D$57&lt;&gt;"Water Supply/Chemicals")*('Expenses Tracker'!$E$8:$E$57)),0)</f>
        <v>0</v>
      </c>
      <c r="L17" s="17">
        <f t="shared" si="0"/>
        <v>0</v>
      </c>
      <c r="M17" s="18"/>
    </row>
    <row r="18" spans="1:13" x14ac:dyDescent="0.3">
      <c r="A18" s="3">
        <v>13</v>
      </c>
      <c r="B18" s="4"/>
      <c r="C18" s="5"/>
      <c r="D18" s="5"/>
      <c r="E18" s="5"/>
      <c r="F18" s="5"/>
      <c r="G18" s="5"/>
      <c r="H18" s="6"/>
      <c r="I18" s="7">
        <f>IFERROR(C18*'Price List'!$C$4+D18*'Price List'!$C$5+E18*'Price List'!$C$6+F18*'Price List'!$C$7+G18*'Price List'!$C$9+H18,0)</f>
        <v>0</v>
      </c>
      <c r="J18" s="8">
        <f>IFERROR(SUMPRODUCT(('Expenses Tracker'!$B$8:$B$57=B18)*('Expenses Tracker'!$D$8:$D$57="Water Supply/Chemicals")*('Expenses Tracker'!$E$8:$E$57)),0)</f>
        <v>0</v>
      </c>
      <c r="K18" s="8">
        <f>IFERROR(SUMPRODUCT(('Expenses Tracker'!$B$8:$B$57=B18)*('Expenses Tracker'!$D$8:$D$57&lt;&gt;"Water Supply/Chemicals")*('Expenses Tracker'!$E$8:$E$57)),0)</f>
        <v>0</v>
      </c>
      <c r="L18" s="9">
        <f t="shared" si="0"/>
        <v>0</v>
      </c>
      <c r="M18" s="10"/>
    </row>
    <row r="19" spans="1:13" x14ac:dyDescent="0.3">
      <c r="A19" s="11">
        <v>14</v>
      </c>
      <c r="B19" s="12"/>
      <c r="C19" s="13"/>
      <c r="D19" s="13"/>
      <c r="E19" s="13"/>
      <c r="F19" s="13"/>
      <c r="G19" s="13"/>
      <c r="H19" s="14"/>
      <c r="I19" s="15">
        <f>IFERROR(C19*'Price List'!$C$4+D19*'Price List'!$C$5+E19*'Price List'!$C$6+F19*'Price List'!$C$7+G19*'Price List'!$C$9+H19,0)</f>
        <v>0</v>
      </c>
      <c r="J19" s="16">
        <f>IFERROR(SUMPRODUCT(('Expenses Tracker'!$B$8:$B$57=B19)*('Expenses Tracker'!$D$8:$D$57="Water Supply/Chemicals")*('Expenses Tracker'!$E$8:$E$57)),0)</f>
        <v>0</v>
      </c>
      <c r="K19" s="16">
        <f>IFERROR(SUMPRODUCT(('Expenses Tracker'!$B$8:$B$57=B19)*('Expenses Tracker'!$D$8:$D$57&lt;&gt;"Water Supply/Chemicals")*('Expenses Tracker'!$E$8:$E$57)),0)</f>
        <v>0</v>
      </c>
      <c r="L19" s="17">
        <f t="shared" si="0"/>
        <v>0</v>
      </c>
      <c r="M19" s="18"/>
    </row>
    <row r="20" spans="1:13" x14ac:dyDescent="0.3">
      <c r="A20" s="3">
        <v>15</v>
      </c>
      <c r="B20" s="4"/>
      <c r="C20" s="5"/>
      <c r="D20" s="5"/>
      <c r="E20" s="5"/>
      <c r="F20" s="5"/>
      <c r="G20" s="5"/>
      <c r="H20" s="6"/>
      <c r="I20" s="7">
        <f>IFERROR(C20*'Price List'!$C$4+D20*'Price List'!$C$5+E20*'Price List'!$C$6+F20*'Price List'!$C$7+G20*'Price List'!$C$9+H20,0)</f>
        <v>0</v>
      </c>
      <c r="J20" s="8">
        <f>IFERROR(SUMPRODUCT(('Expenses Tracker'!$B$8:$B$57=B20)*('Expenses Tracker'!$D$8:$D$57="Water Supply/Chemicals")*('Expenses Tracker'!$E$8:$E$57)),0)</f>
        <v>0</v>
      </c>
      <c r="K20" s="8">
        <f>IFERROR(SUMPRODUCT(('Expenses Tracker'!$B$8:$B$57=B20)*('Expenses Tracker'!$D$8:$D$57&lt;&gt;"Water Supply/Chemicals")*('Expenses Tracker'!$E$8:$E$57)),0)</f>
        <v>0</v>
      </c>
      <c r="L20" s="9">
        <f t="shared" si="0"/>
        <v>0</v>
      </c>
      <c r="M20" s="10"/>
    </row>
    <row r="21" spans="1:13" x14ac:dyDescent="0.3">
      <c r="A21" s="11">
        <v>16</v>
      </c>
      <c r="B21" s="12"/>
      <c r="C21" s="13"/>
      <c r="D21" s="13"/>
      <c r="E21" s="13"/>
      <c r="F21" s="13"/>
      <c r="G21" s="13"/>
      <c r="H21" s="14"/>
      <c r="I21" s="15">
        <f>IFERROR(C21*'Price List'!$C$4+D21*'Price List'!$C$5+E21*'Price List'!$C$6+F21*'Price List'!$C$7+G21*'Price List'!$C$9+H21,0)</f>
        <v>0</v>
      </c>
      <c r="J21" s="16">
        <f>IFERROR(SUMPRODUCT(('Expenses Tracker'!$B$8:$B$57=B21)*('Expenses Tracker'!$D$8:$D$57="Water Supply/Chemicals")*('Expenses Tracker'!$E$8:$E$57)),0)</f>
        <v>0</v>
      </c>
      <c r="K21" s="16">
        <f>IFERROR(SUMPRODUCT(('Expenses Tracker'!$B$8:$B$57=B21)*('Expenses Tracker'!$D$8:$D$57&lt;&gt;"Water Supply/Chemicals")*('Expenses Tracker'!$E$8:$E$57)),0)</f>
        <v>0</v>
      </c>
      <c r="L21" s="17">
        <f t="shared" si="0"/>
        <v>0</v>
      </c>
      <c r="M21" s="18"/>
    </row>
    <row r="22" spans="1:13" x14ac:dyDescent="0.3">
      <c r="A22" s="3">
        <v>17</v>
      </c>
      <c r="B22" s="4"/>
      <c r="C22" s="5"/>
      <c r="D22" s="5"/>
      <c r="E22" s="5"/>
      <c r="F22" s="5"/>
      <c r="G22" s="5"/>
      <c r="H22" s="6"/>
      <c r="I22" s="7">
        <f>IFERROR(C22*'Price List'!$C$4+D22*'Price List'!$C$5+E22*'Price List'!$C$6+F22*'Price List'!$C$7+G22*'Price List'!$C$9+H22,0)</f>
        <v>0</v>
      </c>
      <c r="J22" s="8">
        <f>IFERROR(SUMPRODUCT(('Expenses Tracker'!$B$8:$B$57=B22)*('Expenses Tracker'!$D$8:$D$57="Water Supply/Chemicals")*('Expenses Tracker'!$E$8:$E$57)),0)</f>
        <v>0</v>
      </c>
      <c r="K22" s="8">
        <f>IFERROR(SUMPRODUCT(('Expenses Tracker'!$B$8:$B$57=B22)*('Expenses Tracker'!$D$8:$D$57&lt;&gt;"Water Supply/Chemicals")*('Expenses Tracker'!$E$8:$E$57)),0)</f>
        <v>0</v>
      </c>
      <c r="L22" s="9">
        <f t="shared" si="0"/>
        <v>0</v>
      </c>
      <c r="M22" s="10"/>
    </row>
    <row r="23" spans="1:13" x14ac:dyDescent="0.3">
      <c r="A23" s="11">
        <v>18</v>
      </c>
      <c r="B23" s="12"/>
      <c r="C23" s="13"/>
      <c r="D23" s="13"/>
      <c r="E23" s="13"/>
      <c r="F23" s="13"/>
      <c r="G23" s="13"/>
      <c r="H23" s="14"/>
      <c r="I23" s="15">
        <f>IFERROR(C23*'Price List'!$C$4+D23*'Price List'!$C$5+E23*'Price List'!$C$6+F23*'Price List'!$C$7+G23*'Price List'!$C$9+H23,0)</f>
        <v>0</v>
      </c>
      <c r="J23" s="16">
        <f>IFERROR(SUMPRODUCT(('Expenses Tracker'!$B$8:$B$57=B23)*('Expenses Tracker'!$D$8:$D$57="Water Supply/Chemicals")*('Expenses Tracker'!$E$8:$E$57)),0)</f>
        <v>0</v>
      </c>
      <c r="K23" s="16">
        <f>IFERROR(SUMPRODUCT(('Expenses Tracker'!$B$8:$B$57=B23)*('Expenses Tracker'!$D$8:$D$57&lt;&gt;"Water Supply/Chemicals")*('Expenses Tracker'!$E$8:$E$57)),0)</f>
        <v>0</v>
      </c>
      <c r="L23" s="17">
        <f t="shared" si="0"/>
        <v>0</v>
      </c>
      <c r="M23" s="18"/>
    </row>
    <row r="24" spans="1:13" x14ac:dyDescent="0.3">
      <c r="A24" s="3">
        <v>19</v>
      </c>
      <c r="B24" s="4"/>
      <c r="C24" s="5"/>
      <c r="D24" s="5"/>
      <c r="E24" s="5"/>
      <c r="F24" s="5"/>
      <c r="G24" s="5"/>
      <c r="H24" s="6"/>
      <c r="I24" s="7">
        <f>IFERROR(C24*'Price List'!$C$4+D24*'Price List'!$C$5+E24*'Price List'!$C$6+F24*'Price List'!$C$7+G24*'Price List'!$C$9+H24,0)</f>
        <v>0</v>
      </c>
      <c r="J24" s="8">
        <f>IFERROR(SUMPRODUCT(('Expenses Tracker'!$B$8:$B$57=B24)*('Expenses Tracker'!$D$8:$D$57="Water Supply/Chemicals")*('Expenses Tracker'!$E$8:$E$57)),0)</f>
        <v>0</v>
      </c>
      <c r="K24" s="8">
        <f>IFERROR(SUMPRODUCT(('Expenses Tracker'!$B$8:$B$57=B24)*('Expenses Tracker'!$D$8:$D$57&lt;&gt;"Water Supply/Chemicals")*('Expenses Tracker'!$E$8:$E$57)),0)</f>
        <v>0</v>
      </c>
      <c r="L24" s="9">
        <f t="shared" si="0"/>
        <v>0</v>
      </c>
      <c r="M24" s="10"/>
    </row>
    <row r="25" spans="1:13" x14ac:dyDescent="0.3">
      <c r="A25" s="11">
        <v>20</v>
      </c>
      <c r="B25" s="12"/>
      <c r="C25" s="13"/>
      <c r="D25" s="13"/>
      <c r="E25" s="13"/>
      <c r="F25" s="13"/>
      <c r="G25" s="13"/>
      <c r="H25" s="14"/>
      <c r="I25" s="15">
        <f>IFERROR(C25*'Price List'!$C$4+D25*'Price List'!$C$5+E25*'Price List'!$C$6+F25*'Price List'!$C$7+G25*'Price List'!$C$9+H25,0)</f>
        <v>0</v>
      </c>
      <c r="J25" s="16">
        <f>IFERROR(SUMPRODUCT(('Expenses Tracker'!$B$8:$B$57=B25)*('Expenses Tracker'!$D$8:$D$57="Water Supply/Chemicals")*('Expenses Tracker'!$E$8:$E$57)),0)</f>
        <v>0</v>
      </c>
      <c r="K25" s="16">
        <f>IFERROR(SUMPRODUCT(('Expenses Tracker'!$B$8:$B$57=B25)*('Expenses Tracker'!$D$8:$D$57&lt;&gt;"Water Supply/Chemicals")*('Expenses Tracker'!$E$8:$E$57)),0)</f>
        <v>0</v>
      </c>
      <c r="L25" s="17">
        <f t="shared" si="0"/>
        <v>0</v>
      </c>
      <c r="M25" s="18"/>
    </row>
    <row r="26" spans="1:13" x14ac:dyDescent="0.3">
      <c r="A26" s="3">
        <v>21</v>
      </c>
      <c r="B26" s="4"/>
      <c r="C26" s="5"/>
      <c r="D26" s="5"/>
      <c r="E26" s="5"/>
      <c r="F26" s="5"/>
      <c r="G26" s="5"/>
      <c r="H26" s="6"/>
      <c r="I26" s="7">
        <f>IFERROR(C26*'Price List'!$C$4+D26*'Price List'!$C$5+E26*'Price List'!$C$6+F26*'Price List'!$C$7+G26*'Price List'!$C$9+H26,0)</f>
        <v>0</v>
      </c>
      <c r="J26" s="8">
        <f>IFERROR(SUMPRODUCT(('Expenses Tracker'!$B$8:$B$57=B26)*('Expenses Tracker'!$D$8:$D$57="Water Supply/Chemicals")*('Expenses Tracker'!$E$8:$E$57)),0)</f>
        <v>0</v>
      </c>
      <c r="K26" s="8">
        <f>IFERROR(SUMPRODUCT(('Expenses Tracker'!$B$8:$B$57=B26)*('Expenses Tracker'!$D$8:$D$57&lt;&gt;"Water Supply/Chemicals")*('Expenses Tracker'!$E$8:$E$57)),0)</f>
        <v>0</v>
      </c>
      <c r="L26" s="9">
        <f t="shared" si="0"/>
        <v>0</v>
      </c>
      <c r="M26" s="10"/>
    </row>
    <row r="27" spans="1:13" x14ac:dyDescent="0.3">
      <c r="A27" s="11">
        <v>22</v>
      </c>
      <c r="B27" s="12"/>
      <c r="C27" s="13"/>
      <c r="D27" s="13"/>
      <c r="E27" s="13"/>
      <c r="F27" s="13"/>
      <c r="G27" s="13"/>
      <c r="H27" s="14"/>
      <c r="I27" s="15">
        <f>IFERROR(C27*'Price List'!$C$4+D27*'Price List'!$C$5+E27*'Price List'!$C$6+F27*'Price List'!$C$7+G27*'Price List'!$C$9+H27,0)</f>
        <v>0</v>
      </c>
      <c r="J27" s="16">
        <f>IFERROR(SUMPRODUCT(('Expenses Tracker'!$B$8:$B$57=B27)*('Expenses Tracker'!$D$8:$D$57="Water Supply/Chemicals")*('Expenses Tracker'!$E$8:$E$57)),0)</f>
        <v>0</v>
      </c>
      <c r="K27" s="16">
        <f>IFERROR(SUMPRODUCT(('Expenses Tracker'!$B$8:$B$57=B27)*('Expenses Tracker'!$D$8:$D$57&lt;&gt;"Water Supply/Chemicals")*('Expenses Tracker'!$E$8:$E$57)),0)</f>
        <v>0</v>
      </c>
      <c r="L27" s="17">
        <f t="shared" si="0"/>
        <v>0</v>
      </c>
      <c r="M27" s="18"/>
    </row>
    <row r="28" spans="1:13" x14ac:dyDescent="0.3">
      <c r="A28" s="3">
        <v>23</v>
      </c>
      <c r="B28" s="4"/>
      <c r="C28" s="5"/>
      <c r="D28" s="5"/>
      <c r="E28" s="5"/>
      <c r="F28" s="5"/>
      <c r="G28" s="5"/>
      <c r="H28" s="6"/>
      <c r="I28" s="7">
        <f>IFERROR(C28*'Price List'!$C$4+D28*'Price List'!$C$5+E28*'Price List'!$C$6+F28*'Price List'!$C$7+G28*'Price List'!$C$9+H28,0)</f>
        <v>0</v>
      </c>
      <c r="J28" s="8">
        <f>IFERROR(SUMPRODUCT(('Expenses Tracker'!$B$8:$B$57=B28)*('Expenses Tracker'!$D$8:$D$57="Water Supply/Chemicals")*('Expenses Tracker'!$E$8:$E$57)),0)</f>
        <v>0</v>
      </c>
      <c r="K28" s="8">
        <f>IFERROR(SUMPRODUCT(('Expenses Tracker'!$B$8:$B$57=B28)*('Expenses Tracker'!$D$8:$D$57&lt;&gt;"Water Supply/Chemicals")*('Expenses Tracker'!$E$8:$E$57)),0)</f>
        <v>0</v>
      </c>
      <c r="L28" s="9">
        <f t="shared" si="0"/>
        <v>0</v>
      </c>
      <c r="M28" s="10"/>
    </row>
    <row r="29" spans="1:13" x14ac:dyDescent="0.3">
      <c r="A29" s="11">
        <v>24</v>
      </c>
      <c r="B29" s="12"/>
      <c r="C29" s="13"/>
      <c r="D29" s="13"/>
      <c r="E29" s="13"/>
      <c r="F29" s="13"/>
      <c r="G29" s="13"/>
      <c r="H29" s="14"/>
      <c r="I29" s="15">
        <f>IFERROR(C29*'Price List'!$C$4+D29*'Price List'!$C$5+E29*'Price List'!$C$6+F29*'Price List'!$C$7+G29*'Price List'!$C$9+H29,0)</f>
        <v>0</v>
      </c>
      <c r="J29" s="16">
        <f>IFERROR(SUMPRODUCT(('Expenses Tracker'!$B$8:$B$57=B29)*('Expenses Tracker'!$D$8:$D$57="Water Supply/Chemicals")*('Expenses Tracker'!$E$8:$E$57)),0)</f>
        <v>0</v>
      </c>
      <c r="K29" s="16">
        <f>IFERROR(SUMPRODUCT(('Expenses Tracker'!$B$8:$B$57=B29)*('Expenses Tracker'!$D$8:$D$57&lt;&gt;"Water Supply/Chemicals")*('Expenses Tracker'!$E$8:$E$57)),0)</f>
        <v>0</v>
      </c>
      <c r="L29" s="17">
        <f t="shared" si="0"/>
        <v>0</v>
      </c>
      <c r="M29" s="18"/>
    </row>
    <row r="30" spans="1:13" x14ac:dyDescent="0.3">
      <c r="A30" s="3">
        <v>25</v>
      </c>
      <c r="B30" s="4"/>
      <c r="C30" s="5"/>
      <c r="D30" s="5"/>
      <c r="E30" s="5"/>
      <c r="F30" s="5"/>
      <c r="G30" s="5"/>
      <c r="H30" s="6"/>
      <c r="I30" s="7">
        <f>IFERROR(C30*'Price List'!$C$4+D30*'Price List'!$C$5+E30*'Price List'!$C$6+F30*'Price List'!$C$7+G30*'Price List'!$C$9+H30,0)</f>
        <v>0</v>
      </c>
      <c r="J30" s="8">
        <f>IFERROR(SUMPRODUCT(('Expenses Tracker'!$B$8:$B$57=B30)*('Expenses Tracker'!$D$8:$D$57="Water Supply/Chemicals")*('Expenses Tracker'!$E$8:$E$57)),0)</f>
        <v>0</v>
      </c>
      <c r="K30" s="8">
        <f>IFERROR(SUMPRODUCT(('Expenses Tracker'!$B$8:$B$57=B30)*('Expenses Tracker'!$D$8:$D$57&lt;&gt;"Water Supply/Chemicals")*('Expenses Tracker'!$E$8:$E$57)),0)</f>
        <v>0</v>
      </c>
      <c r="L30" s="9">
        <f t="shared" si="0"/>
        <v>0</v>
      </c>
      <c r="M30" s="10"/>
    </row>
    <row r="31" spans="1:13" x14ac:dyDescent="0.3">
      <c r="A31" s="11">
        <v>26</v>
      </c>
      <c r="B31" s="12"/>
      <c r="C31" s="13"/>
      <c r="D31" s="13"/>
      <c r="E31" s="13"/>
      <c r="F31" s="13"/>
      <c r="G31" s="13"/>
      <c r="H31" s="14"/>
      <c r="I31" s="15">
        <f>IFERROR(C31*'Price List'!$C$4+D31*'Price List'!$C$5+E31*'Price List'!$C$6+F31*'Price List'!$C$7+G31*'Price List'!$C$9+H31,0)</f>
        <v>0</v>
      </c>
      <c r="J31" s="16">
        <f>IFERROR(SUMPRODUCT(('Expenses Tracker'!$B$8:$B$57=B31)*('Expenses Tracker'!$D$8:$D$57="Water Supply/Chemicals")*('Expenses Tracker'!$E$8:$E$57)),0)</f>
        <v>0</v>
      </c>
      <c r="K31" s="16">
        <f>IFERROR(SUMPRODUCT(('Expenses Tracker'!$B$8:$B$57=B31)*('Expenses Tracker'!$D$8:$D$57&lt;&gt;"Water Supply/Chemicals")*('Expenses Tracker'!$E$8:$E$57)),0)</f>
        <v>0</v>
      </c>
      <c r="L31" s="17">
        <f t="shared" si="0"/>
        <v>0</v>
      </c>
      <c r="M31" s="18"/>
    </row>
    <row r="32" spans="1:13" x14ac:dyDescent="0.3">
      <c r="A32" s="3">
        <v>27</v>
      </c>
      <c r="B32" s="4"/>
      <c r="C32" s="5"/>
      <c r="D32" s="5"/>
      <c r="E32" s="5"/>
      <c r="F32" s="5"/>
      <c r="G32" s="5"/>
      <c r="H32" s="6"/>
      <c r="I32" s="7">
        <f>IFERROR(C32*'Price List'!$C$4+D32*'Price List'!$C$5+E32*'Price List'!$C$6+F32*'Price List'!$C$7+G32*'Price List'!$C$9+H32,0)</f>
        <v>0</v>
      </c>
      <c r="J32" s="8">
        <f>IFERROR(SUMPRODUCT(('Expenses Tracker'!$B$8:$B$57=B32)*('Expenses Tracker'!$D$8:$D$57="Water Supply/Chemicals")*('Expenses Tracker'!$E$8:$E$57)),0)</f>
        <v>0</v>
      </c>
      <c r="K32" s="8">
        <f>IFERROR(SUMPRODUCT(('Expenses Tracker'!$B$8:$B$57=B32)*('Expenses Tracker'!$D$8:$D$57&lt;&gt;"Water Supply/Chemicals")*('Expenses Tracker'!$E$8:$E$57)),0)</f>
        <v>0</v>
      </c>
      <c r="L32" s="9">
        <f t="shared" si="0"/>
        <v>0</v>
      </c>
      <c r="M32" s="10"/>
    </row>
    <row r="33" spans="1:13" x14ac:dyDescent="0.3">
      <c r="A33" s="11">
        <v>28</v>
      </c>
      <c r="B33" s="12"/>
      <c r="C33" s="13"/>
      <c r="D33" s="13"/>
      <c r="E33" s="13"/>
      <c r="F33" s="13"/>
      <c r="G33" s="13"/>
      <c r="H33" s="14"/>
      <c r="I33" s="15">
        <f>IFERROR(C33*'Price List'!$C$4+D33*'Price List'!$C$5+E33*'Price List'!$C$6+F33*'Price List'!$C$7+G33*'Price List'!$C$9+H33,0)</f>
        <v>0</v>
      </c>
      <c r="J33" s="16">
        <f>IFERROR(SUMPRODUCT(('Expenses Tracker'!$B$8:$B$57=B33)*('Expenses Tracker'!$D$8:$D$57="Water Supply/Chemicals")*('Expenses Tracker'!$E$8:$E$57)),0)</f>
        <v>0</v>
      </c>
      <c r="K33" s="16">
        <f>IFERROR(SUMPRODUCT(('Expenses Tracker'!$B$8:$B$57=B33)*('Expenses Tracker'!$D$8:$D$57&lt;&gt;"Water Supply/Chemicals")*('Expenses Tracker'!$E$8:$E$57)),0)</f>
        <v>0</v>
      </c>
      <c r="L33" s="17">
        <f t="shared" si="0"/>
        <v>0</v>
      </c>
      <c r="M33" s="18"/>
    </row>
    <row r="34" spans="1:13" x14ac:dyDescent="0.3">
      <c r="A34" s="3">
        <v>29</v>
      </c>
      <c r="B34" s="4"/>
      <c r="C34" s="5"/>
      <c r="D34" s="5"/>
      <c r="E34" s="5"/>
      <c r="F34" s="5"/>
      <c r="G34" s="5"/>
      <c r="H34" s="6"/>
      <c r="I34" s="7">
        <f>IFERROR(C34*'Price List'!$C$4+D34*'Price List'!$C$5+E34*'Price List'!$C$6+F34*'Price List'!$C$7+G34*'Price List'!$C$9+H34,0)</f>
        <v>0</v>
      </c>
      <c r="J34" s="8">
        <f>IFERROR(SUMPRODUCT(('Expenses Tracker'!$B$8:$B$57=B34)*('Expenses Tracker'!$D$8:$D$57="Water Supply/Chemicals")*('Expenses Tracker'!$E$8:$E$57)),0)</f>
        <v>0</v>
      </c>
      <c r="K34" s="8">
        <f>IFERROR(SUMPRODUCT(('Expenses Tracker'!$B$8:$B$57=B34)*('Expenses Tracker'!$D$8:$D$57&lt;&gt;"Water Supply/Chemicals")*('Expenses Tracker'!$E$8:$E$57)),0)</f>
        <v>0</v>
      </c>
      <c r="L34" s="9">
        <f t="shared" si="0"/>
        <v>0</v>
      </c>
      <c r="M34" s="10"/>
    </row>
    <row r="35" spans="1:13" x14ac:dyDescent="0.3">
      <c r="A35" s="11">
        <v>30</v>
      </c>
      <c r="B35" s="12"/>
      <c r="C35" s="13"/>
      <c r="D35" s="13"/>
      <c r="E35" s="13"/>
      <c r="F35" s="13"/>
      <c r="G35" s="13"/>
      <c r="H35" s="14"/>
      <c r="I35" s="15">
        <f>IFERROR(C35*'Price List'!$C$4+D35*'Price List'!$C$5+E35*'Price List'!$C$6+F35*'Price List'!$C$7+G35*'Price List'!$C$9+H35,0)</f>
        <v>0</v>
      </c>
      <c r="J35" s="16">
        <f>IFERROR(SUMPRODUCT(('Expenses Tracker'!$B$8:$B$57=B35)*('Expenses Tracker'!$D$8:$D$57="Water Supply/Chemicals")*('Expenses Tracker'!$E$8:$E$57)),0)</f>
        <v>0</v>
      </c>
      <c r="K35" s="16">
        <f>IFERROR(SUMPRODUCT(('Expenses Tracker'!$B$8:$B$57=B35)*('Expenses Tracker'!$D$8:$D$57&lt;&gt;"Water Supply/Chemicals")*('Expenses Tracker'!$E$8:$E$57)),0)</f>
        <v>0</v>
      </c>
      <c r="L35" s="17">
        <f t="shared" si="0"/>
        <v>0</v>
      </c>
      <c r="M35" s="18"/>
    </row>
    <row r="36" spans="1:13" x14ac:dyDescent="0.3">
      <c r="A36" s="3">
        <v>31</v>
      </c>
      <c r="B36" s="4"/>
      <c r="C36" s="5"/>
      <c r="D36" s="5"/>
      <c r="E36" s="5"/>
      <c r="F36" s="5"/>
      <c r="G36" s="5"/>
      <c r="H36" s="6"/>
      <c r="I36" s="7">
        <f>IFERROR(C36*'Price List'!$C$4+D36*'Price List'!$C$5+E36*'Price List'!$C$6+F36*'Price List'!$C$7+G36*'Price List'!$C$9+H36,0)</f>
        <v>0</v>
      </c>
      <c r="J36" s="8">
        <f>IFERROR(SUMPRODUCT(('Expenses Tracker'!$B$8:$B$57=B36)*('Expenses Tracker'!$D$8:$D$57="Water Supply/Chemicals")*('Expenses Tracker'!$E$8:$E$57)),0)</f>
        <v>0</v>
      </c>
      <c r="K36" s="8">
        <f>IFERROR(SUMPRODUCT(('Expenses Tracker'!$B$8:$B$57=B36)*('Expenses Tracker'!$D$8:$D$57&lt;&gt;"Water Supply/Chemicals")*('Expenses Tracker'!$E$8:$E$57)),0)</f>
        <v>0</v>
      </c>
      <c r="L36" s="9">
        <f t="shared" si="0"/>
        <v>0</v>
      </c>
      <c r="M36" s="10"/>
    </row>
    <row r="37" spans="1:13" x14ac:dyDescent="0.3">
      <c r="A37" s="19" t="s">
        <v>15</v>
      </c>
      <c r="B37" s="20"/>
      <c r="C37" s="21">
        <f t="shared" ref="C37:L37" si="1">SUM(C6:C36)</f>
        <v>0</v>
      </c>
      <c r="D37" s="21">
        <f t="shared" si="1"/>
        <v>0</v>
      </c>
      <c r="E37" s="21">
        <f t="shared" si="1"/>
        <v>0</v>
      </c>
      <c r="F37" s="21">
        <f t="shared" si="1"/>
        <v>0</v>
      </c>
      <c r="G37" s="21">
        <f t="shared" si="1"/>
        <v>0</v>
      </c>
      <c r="H37" s="22">
        <f t="shared" si="1"/>
        <v>0</v>
      </c>
      <c r="I37" s="22">
        <f t="shared" si="1"/>
        <v>0</v>
      </c>
      <c r="J37" s="22">
        <f t="shared" si="1"/>
        <v>0</v>
      </c>
      <c r="K37" s="22">
        <f t="shared" si="1"/>
        <v>0</v>
      </c>
      <c r="L37" s="22">
        <f t="shared" si="1"/>
        <v>0</v>
      </c>
      <c r="M37" s="23"/>
    </row>
    <row r="38" spans="1:13" x14ac:dyDescent="0.3">
      <c r="A38" s="24" t="s">
        <v>16</v>
      </c>
    </row>
    <row r="39" spans="1:13" ht="21.75" customHeight="1" x14ac:dyDescent="0.3">
      <c r="A39" s="64"/>
      <c r="B39" s="64"/>
    </row>
    <row r="40" spans="1:13" ht="18" customHeight="1" x14ac:dyDescent="0.3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</row>
    <row r="41" spans="1:13" ht="18" customHeight="1" x14ac:dyDescent="0.3"/>
    <row r="42" spans="1:13" ht="18" customHeight="1" x14ac:dyDescent="0.3"/>
    <row r="43" spans="1:13" ht="18" customHeight="1" x14ac:dyDescent="0.3"/>
    <row r="44" spans="1:13" ht="18" customHeight="1" x14ac:dyDescent="0.3"/>
    <row r="45" spans="1:13" ht="18" customHeight="1" x14ac:dyDescent="0.3"/>
    <row r="46" spans="1:13" ht="18" customHeight="1" x14ac:dyDescent="0.3"/>
    <row r="47" spans="1:13" ht="18" customHeight="1" x14ac:dyDescent="0.3"/>
    <row r="48" spans="1:13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7">
    <mergeCell ref="A39:B39"/>
    <mergeCell ref="A40:M40"/>
    <mergeCell ref="A1:M2"/>
    <mergeCell ref="A3:M3"/>
    <mergeCell ref="A4:C4"/>
    <mergeCell ref="D4:E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5100"/>
  </sheetPr>
  <dimension ref="A1:G58"/>
  <sheetViews>
    <sheetView showGridLines="0" zoomScale="70" zoomScaleNormal="70" workbookViewId="0">
      <pane ySplit="7" topLeftCell="A8" activePane="bottomLeft" state="frozen"/>
      <selection pane="bottomLeft" activeCell="E18" sqref="E18"/>
    </sheetView>
  </sheetViews>
  <sheetFormatPr defaultColWidth="8.6640625" defaultRowHeight="14.4" x14ac:dyDescent="0.3"/>
  <cols>
    <col min="1" max="1" width="5" customWidth="1"/>
    <col min="2" max="2" width="14" customWidth="1"/>
    <col min="3" max="3" width="26" customWidth="1"/>
    <col min="4" max="4" width="18" customWidth="1"/>
    <col min="5" max="5" width="16" customWidth="1"/>
    <col min="6" max="6" width="14" customWidth="1"/>
    <col min="7" max="7" width="22" customWidth="1"/>
  </cols>
  <sheetData>
    <row r="1" spans="1:7" ht="27.75" customHeight="1" x14ac:dyDescent="0.3">
      <c r="A1" s="70" t="s">
        <v>17</v>
      </c>
      <c r="B1" s="70"/>
      <c r="C1" s="70"/>
      <c r="D1" s="70"/>
      <c r="E1" s="70"/>
      <c r="F1" s="70"/>
      <c r="G1" s="70"/>
    </row>
    <row r="2" spans="1:7" ht="19.5" customHeight="1" x14ac:dyDescent="0.3">
      <c r="A2" s="70"/>
      <c r="B2" s="70"/>
      <c r="C2" s="70"/>
      <c r="D2" s="70"/>
      <c r="E2" s="70"/>
      <c r="F2" s="70"/>
      <c r="G2" s="70"/>
    </row>
    <row r="3" spans="1:7" x14ac:dyDescent="0.3">
      <c r="A3" s="71" t="s">
        <v>18</v>
      </c>
      <c r="B3" s="71"/>
      <c r="C3" s="71"/>
      <c r="D3" s="71"/>
      <c r="E3" s="71"/>
      <c r="F3" s="71"/>
      <c r="G3" s="71"/>
    </row>
    <row r="5" spans="1:7" x14ac:dyDescent="0.3">
      <c r="A5" s="72" t="s">
        <v>19</v>
      </c>
      <c r="B5" s="72"/>
      <c r="C5" s="72"/>
      <c r="D5" s="72"/>
      <c r="E5" s="72"/>
      <c r="F5" s="72"/>
      <c r="G5" s="72"/>
    </row>
    <row r="7" spans="1:7" ht="21.75" customHeight="1" x14ac:dyDescent="0.3">
      <c r="A7" s="25" t="s">
        <v>5</v>
      </c>
      <c r="B7" s="25" t="s">
        <v>6</v>
      </c>
      <c r="C7" s="25" t="s">
        <v>20</v>
      </c>
      <c r="D7" s="25" t="s">
        <v>21</v>
      </c>
      <c r="E7" s="25" t="s">
        <v>22</v>
      </c>
      <c r="F7" s="25" t="s">
        <v>23</v>
      </c>
      <c r="G7" s="25" t="s">
        <v>14</v>
      </c>
    </row>
    <row r="8" spans="1:7" ht="18" customHeight="1" x14ac:dyDescent="0.3">
      <c r="A8" s="3">
        <v>1</v>
      </c>
      <c r="B8" s="4"/>
      <c r="C8" s="10"/>
      <c r="D8" s="10"/>
      <c r="E8" s="6"/>
      <c r="F8" s="10"/>
      <c r="G8" s="10"/>
    </row>
    <row r="9" spans="1:7" ht="18" customHeight="1" x14ac:dyDescent="0.3">
      <c r="A9" s="11">
        <v>2</v>
      </c>
      <c r="B9" s="12"/>
      <c r="C9" s="18"/>
      <c r="D9" s="18"/>
      <c r="E9" s="14"/>
      <c r="F9" s="18"/>
      <c r="G9" s="18"/>
    </row>
    <row r="10" spans="1:7" ht="18" customHeight="1" x14ac:dyDescent="0.3">
      <c r="A10" s="3">
        <v>3</v>
      </c>
      <c r="B10" s="4"/>
      <c r="C10" s="10"/>
      <c r="D10" s="10"/>
      <c r="E10" s="6"/>
      <c r="F10" s="10"/>
      <c r="G10" s="10"/>
    </row>
    <row r="11" spans="1:7" ht="18" customHeight="1" x14ac:dyDescent="0.3">
      <c r="A11" s="11">
        <v>4</v>
      </c>
      <c r="B11" s="12"/>
      <c r="C11" s="18"/>
      <c r="D11" s="18"/>
      <c r="E11" s="14"/>
      <c r="F11" s="18"/>
      <c r="G11" s="18"/>
    </row>
    <row r="12" spans="1:7" ht="18" customHeight="1" x14ac:dyDescent="0.3">
      <c r="A12" s="3">
        <v>5</v>
      </c>
      <c r="B12" s="4"/>
      <c r="C12" s="10"/>
      <c r="D12" s="10"/>
      <c r="E12" s="6"/>
      <c r="F12" s="10"/>
      <c r="G12" s="10"/>
    </row>
    <row r="13" spans="1:7" ht="18" customHeight="1" x14ac:dyDescent="0.3">
      <c r="A13" s="11">
        <v>6</v>
      </c>
      <c r="B13" s="12"/>
      <c r="C13" s="18"/>
      <c r="D13" s="18"/>
      <c r="E13" s="14"/>
      <c r="F13" s="18"/>
      <c r="G13" s="18"/>
    </row>
    <row r="14" spans="1:7" ht="18" customHeight="1" x14ac:dyDescent="0.3">
      <c r="A14" s="3">
        <v>7</v>
      </c>
      <c r="B14" s="4"/>
      <c r="C14" s="10"/>
      <c r="D14" s="10"/>
      <c r="E14" s="6"/>
      <c r="F14" s="10"/>
      <c r="G14" s="10"/>
    </row>
    <row r="15" spans="1:7" ht="18" customHeight="1" x14ac:dyDescent="0.3">
      <c r="A15" s="11">
        <v>8</v>
      </c>
      <c r="B15" s="12"/>
      <c r="C15" s="18"/>
      <c r="D15" s="18"/>
      <c r="E15" s="14"/>
      <c r="F15" s="18"/>
      <c r="G15" s="18"/>
    </row>
    <row r="16" spans="1:7" ht="18" customHeight="1" x14ac:dyDescent="0.3">
      <c r="A16" s="3">
        <v>9</v>
      </c>
      <c r="B16" s="4"/>
      <c r="C16" s="10"/>
      <c r="D16" s="10"/>
      <c r="E16" s="6"/>
      <c r="F16" s="10"/>
      <c r="G16" s="10"/>
    </row>
    <row r="17" spans="1:7" ht="18" customHeight="1" x14ac:dyDescent="0.3">
      <c r="A17" s="11">
        <v>10</v>
      </c>
      <c r="B17" s="12"/>
      <c r="C17" s="18"/>
      <c r="D17" s="18"/>
      <c r="E17" s="14"/>
      <c r="F17" s="18"/>
      <c r="G17" s="18"/>
    </row>
    <row r="18" spans="1:7" ht="18" customHeight="1" x14ac:dyDescent="0.3">
      <c r="A18" s="3">
        <v>11</v>
      </c>
      <c r="B18" s="4"/>
      <c r="C18" s="10"/>
      <c r="D18" s="10"/>
      <c r="E18" s="6"/>
      <c r="F18" s="10"/>
      <c r="G18" s="10"/>
    </row>
    <row r="19" spans="1:7" ht="18" customHeight="1" x14ac:dyDescent="0.3">
      <c r="A19" s="11">
        <v>12</v>
      </c>
      <c r="B19" s="12"/>
      <c r="C19" s="18"/>
      <c r="D19" s="18"/>
      <c r="E19" s="14"/>
      <c r="F19" s="18"/>
      <c r="G19" s="18"/>
    </row>
    <row r="20" spans="1:7" ht="18" customHeight="1" x14ac:dyDescent="0.3">
      <c r="A20" s="3">
        <v>13</v>
      </c>
      <c r="B20" s="4"/>
      <c r="C20" s="10"/>
      <c r="D20" s="10"/>
      <c r="E20" s="6"/>
      <c r="F20" s="10"/>
      <c r="G20" s="10"/>
    </row>
    <row r="21" spans="1:7" ht="18" customHeight="1" x14ac:dyDescent="0.3">
      <c r="A21" s="11">
        <v>14</v>
      </c>
      <c r="B21" s="12"/>
      <c r="C21" s="18"/>
      <c r="D21" s="18"/>
      <c r="E21" s="14"/>
      <c r="F21" s="18"/>
      <c r="G21" s="18"/>
    </row>
    <row r="22" spans="1:7" ht="18" customHeight="1" x14ac:dyDescent="0.3">
      <c r="A22" s="3">
        <v>15</v>
      </c>
      <c r="B22" s="4"/>
      <c r="C22" s="10"/>
      <c r="D22" s="10"/>
      <c r="E22" s="6"/>
      <c r="F22" s="10"/>
      <c r="G22" s="10"/>
    </row>
    <row r="23" spans="1:7" ht="18" customHeight="1" x14ac:dyDescent="0.3">
      <c r="A23" s="11">
        <v>16</v>
      </c>
      <c r="B23" s="12"/>
      <c r="C23" s="18"/>
      <c r="D23" s="18"/>
      <c r="E23" s="14"/>
      <c r="F23" s="18"/>
      <c r="G23" s="18"/>
    </row>
    <row r="24" spans="1:7" ht="18" customHeight="1" x14ac:dyDescent="0.3">
      <c r="A24" s="3">
        <v>17</v>
      </c>
      <c r="B24" s="4"/>
      <c r="C24" s="10"/>
      <c r="D24" s="10"/>
      <c r="E24" s="6"/>
      <c r="F24" s="10"/>
      <c r="G24" s="10"/>
    </row>
    <row r="25" spans="1:7" ht="18" customHeight="1" x14ac:dyDescent="0.3">
      <c r="A25" s="11">
        <v>18</v>
      </c>
      <c r="B25" s="12"/>
      <c r="C25" s="18"/>
      <c r="D25" s="18"/>
      <c r="E25" s="14"/>
      <c r="F25" s="18"/>
      <c r="G25" s="18"/>
    </row>
    <row r="26" spans="1:7" ht="18" customHeight="1" x14ac:dyDescent="0.3">
      <c r="A26" s="3">
        <v>19</v>
      </c>
      <c r="B26" s="4"/>
      <c r="C26" s="10"/>
      <c r="D26" s="10"/>
      <c r="E26" s="6"/>
      <c r="F26" s="10"/>
      <c r="G26" s="10"/>
    </row>
    <row r="27" spans="1:7" ht="18" customHeight="1" x14ac:dyDescent="0.3">
      <c r="A27" s="11">
        <v>20</v>
      </c>
      <c r="B27" s="12"/>
      <c r="C27" s="18"/>
      <c r="D27" s="18"/>
      <c r="E27" s="14"/>
      <c r="F27" s="18"/>
      <c r="G27" s="18"/>
    </row>
    <row r="28" spans="1:7" ht="18" customHeight="1" x14ac:dyDescent="0.3">
      <c r="A28" s="3">
        <v>21</v>
      </c>
      <c r="B28" s="4"/>
      <c r="C28" s="10"/>
      <c r="D28" s="10"/>
      <c r="E28" s="6"/>
      <c r="F28" s="10"/>
      <c r="G28" s="10"/>
    </row>
    <row r="29" spans="1:7" ht="18" customHeight="1" x14ac:dyDescent="0.3">
      <c r="A29" s="11">
        <v>22</v>
      </c>
      <c r="B29" s="12"/>
      <c r="C29" s="18"/>
      <c r="D29" s="18"/>
      <c r="E29" s="14"/>
      <c r="F29" s="18"/>
      <c r="G29" s="18"/>
    </row>
    <row r="30" spans="1:7" ht="18" customHeight="1" x14ac:dyDescent="0.3">
      <c r="A30" s="3">
        <v>23</v>
      </c>
      <c r="B30" s="4"/>
      <c r="C30" s="10"/>
      <c r="D30" s="10"/>
      <c r="E30" s="6"/>
      <c r="F30" s="10"/>
      <c r="G30" s="10"/>
    </row>
    <row r="31" spans="1:7" ht="18" customHeight="1" x14ac:dyDescent="0.3">
      <c r="A31" s="11">
        <v>24</v>
      </c>
      <c r="B31" s="12"/>
      <c r="C31" s="18"/>
      <c r="D31" s="18"/>
      <c r="E31" s="14"/>
      <c r="F31" s="18"/>
      <c r="G31" s="18"/>
    </row>
    <row r="32" spans="1:7" ht="18" customHeight="1" x14ac:dyDescent="0.3">
      <c r="A32" s="3">
        <v>25</v>
      </c>
      <c r="B32" s="4"/>
      <c r="C32" s="10"/>
      <c r="D32" s="10"/>
      <c r="E32" s="6"/>
      <c r="F32" s="10"/>
      <c r="G32" s="10"/>
    </row>
    <row r="33" spans="1:7" ht="18" customHeight="1" x14ac:dyDescent="0.3">
      <c r="A33" s="11">
        <v>26</v>
      </c>
      <c r="B33" s="12"/>
      <c r="C33" s="18"/>
      <c r="D33" s="18"/>
      <c r="E33" s="14"/>
      <c r="F33" s="18"/>
      <c r="G33" s="18"/>
    </row>
    <row r="34" spans="1:7" ht="18" customHeight="1" x14ac:dyDescent="0.3">
      <c r="A34" s="3">
        <v>27</v>
      </c>
      <c r="B34" s="4"/>
      <c r="C34" s="10"/>
      <c r="D34" s="10"/>
      <c r="E34" s="6"/>
      <c r="F34" s="10"/>
      <c r="G34" s="10"/>
    </row>
    <row r="35" spans="1:7" ht="18" customHeight="1" x14ac:dyDescent="0.3">
      <c r="A35" s="11">
        <v>28</v>
      </c>
      <c r="B35" s="12"/>
      <c r="C35" s="18"/>
      <c r="D35" s="18"/>
      <c r="E35" s="14"/>
      <c r="F35" s="18"/>
      <c r="G35" s="18"/>
    </row>
    <row r="36" spans="1:7" ht="18" customHeight="1" x14ac:dyDescent="0.3">
      <c r="A36" s="3">
        <v>29</v>
      </c>
      <c r="B36" s="4"/>
      <c r="C36" s="10"/>
      <c r="D36" s="10"/>
      <c r="E36" s="6"/>
      <c r="F36" s="10"/>
      <c r="G36" s="10"/>
    </row>
    <row r="37" spans="1:7" ht="18" customHeight="1" x14ac:dyDescent="0.3">
      <c r="A37" s="11">
        <v>30</v>
      </c>
      <c r="B37" s="12"/>
      <c r="C37" s="18"/>
      <c r="D37" s="18"/>
      <c r="E37" s="14"/>
      <c r="F37" s="18"/>
      <c r="G37" s="18"/>
    </row>
    <row r="38" spans="1:7" ht="18" customHeight="1" x14ac:dyDescent="0.3">
      <c r="A38" s="3">
        <v>31</v>
      </c>
      <c r="B38" s="4"/>
      <c r="C38" s="10"/>
      <c r="D38" s="10"/>
      <c r="E38" s="6"/>
      <c r="F38" s="10"/>
      <c r="G38" s="10"/>
    </row>
    <row r="39" spans="1:7" ht="18" customHeight="1" x14ac:dyDescent="0.3">
      <c r="A39" s="11">
        <v>32</v>
      </c>
      <c r="B39" s="12"/>
      <c r="C39" s="18"/>
      <c r="D39" s="18"/>
      <c r="E39" s="14"/>
      <c r="F39" s="18"/>
      <c r="G39" s="18"/>
    </row>
    <row r="40" spans="1:7" ht="18" customHeight="1" x14ac:dyDescent="0.3">
      <c r="A40" s="3">
        <v>33</v>
      </c>
      <c r="B40" s="4"/>
      <c r="C40" s="10"/>
      <c r="D40" s="10"/>
      <c r="E40" s="6"/>
      <c r="F40" s="10"/>
      <c r="G40" s="10"/>
    </row>
    <row r="41" spans="1:7" ht="18" customHeight="1" x14ac:dyDescent="0.3">
      <c r="A41" s="11">
        <v>34</v>
      </c>
      <c r="B41" s="12"/>
      <c r="C41" s="18"/>
      <c r="D41" s="18"/>
      <c r="E41" s="14"/>
      <c r="F41" s="18"/>
      <c r="G41" s="18"/>
    </row>
    <row r="42" spans="1:7" ht="18" customHeight="1" x14ac:dyDescent="0.3">
      <c r="A42" s="3">
        <v>35</v>
      </c>
      <c r="B42" s="4"/>
      <c r="C42" s="10"/>
      <c r="D42" s="10"/>
      <c r="E42" s="6"/>
      <c r="F42" s="10"/>
      <c r="G42" s="10"/>
    </row>
    <row r="43" spans="1:7" ht="18" customHeight="1" x14ac:dyDescent="0.3">
      <c r="A43" s="11">
        <v>36</v>
      </c>
      <c r="B43" s="12"/>
      <c r="C43" s="18"/>
      <c r="D43" s="18"/>
      <c r="E43" s="14"/>
      <c r="F43" s="18"/>
      <c r="G43" s="18"/>
    </row>
    <row r="44" spans="1:7" ht="18" customHeight="1" x14ac:dyDescent="0.3">
      <c r="A44" s="3">
        <v>37</v>
      </c>
      <c r="B44" s="4"/>
      <c r="C44" s="10"/>
      <c r="D44" s="10"/>
      <c r="E44" s="6"/>
      <c r="F44" s="10"/>
      <c r="G44" s="10"/>
    </row>
    <row r="45" spans="1:7" ht="18" customHeight="1" x14ac:dyDescent="0.3">
      <c r="A45" s="11">
        <v>38</v>
      </c>
      <c r="B45" s="12"/>
      <c r="C45" s="18"/>
      <c r="D45" s="18"/>
      <c r="E45" s="14"/>
      <c r="F45" s="18"/>
      <c r="G45" s="18"/>
    </row>
    <row r="46" spans="1:7" ht="18" customHeight="1" x14ac:dyDescent="0.3">
      <c r="A46" s="3">
        <v>39</v>
      </c>
      <c r="B46" s="4"/>
      <c r="C46" s="10"/>
      <c r="D46" s="10"/>
      <c r="E46" s="6"/>
      <c r="F46" s="10"/>
      <c r="G46" s="10"/>
    </row>
    <row r="47" spans="1:7" ht="18" customHeight="1" x14ac:dyDescent="0.3">
      <c r="A47" s="11">
        <v>40</v>
      </c>
      <c r="B47" s="12"/>
      <c r="C47" s="18"/>
      <c r="D47" s="18"/>
      <c r="E47" s="14"/>
      <c r="F47" s="18"/>
      <c r="G47" s="18"/>
    </row>
    <row r="48" spans="1:7" ht="18" customHeight="1" x14ac:dyDescent="0.3">
      <c r="A48" s="3">
        <v>41</v>
      </c>
      <c r="B48" s="4"/>
      <c r="C48" s="10"/>
      <c r="D48" s="10"/>
      <c r="E48" s="6"/>
      <c r="F48" s="10"/>
      <c r="G48" s="10"/>
    </row>
    <row r="49" spans="1:7" ht="18" customHeight="1" x14ac:dyDescent="0.3">
      <c r="A49" s="11">
        <v>42</v>
      </c>
      <c r="B49" s="12"/>
      <c r="C49" s="18"/>
      <c r="D49" s="18"/>
      <c r="E49" s="14"/>
      <c r="F49" s="18"/>
      <c r="G49" s="18"/>
    </row>
    <row r="50" spans="1:7" ht="18" customHeight="1" x14ac:dyDescent="0.3">
      <c r="A50" s="3">
        <v>43</v>
      </c>
      <c r="B50" s="4"/>
      <c r="C50" s="10"/>
      <c r="D50" s="10"/>
      <c r="E50" s="6"/>
      <c r="F50" s="10"/>
      <c r="G50" s="10"/>
    </row>
    <row r="51" spans="1:7" ht="18" customHeight="1" x14ac:dyDescent="0.3">
      <c r="A51" s="11">
        <v>44</v>
      </c>
      <c r="B51" s="12"/>
      <c r="C51" s="18"/>
      <c r="D51" s="18"/>
      <c r="E51" s="14"/>
      <c r="F51" s="18"/>
      <c r="G51" s="18"/>
    </row>
    <row r="52" spans="1:7" ht="18" customHeight="1" x14ac:dyDescent="0.3">
      <c r="A52" s="3">
        <v>45</v>
      </c>
      <c r="B52" s="4"/>
      <c r="C52" s="10"/>
      <c r="D52" s="10"/>
      <c r="E52" s="6"/>
      <c r="F52" s="10"/>
      <c r="G52" s="10"/>
    </row>
    <row r="53" spans="1:7" ht="18" customHeight="1" x14ac:dyDescent="0.3">
      <c r="A53" s="11">
        <v>46</v>
      </c>
      <c r="B53" s="12"/>
      <c r="C53" s="18"/>
      <c r="D53" s="18"/>
      <c r="E53" s="14"/>
      <c r="F53" s="18"/>
      <c r="G53" s="18"/>
    </row>
    <row r="54" spans="1:7" ht="18" customHeight="1" x14ac:dyDescent="0.3">
      <c r="A54" s="3">
        <v>47</v>
      </c>
      <c r="B54" s="4"/>
      <c r="C54" s="10"/>
      <c r="D54" s="10"/>
      <c r="E54" s="6"/>
      <c r="F54" s="10"/>
      <c r="G54" s="10"/>
    </row>
    <row r="55" spans="1:7" ht="18" customHeight="1" x14ac:dyDescent="0.3">
      <c r="A55" s="11">
        <v>48</v>
      </c>
      <c r="B55" s="12"/>
      <c r="C55" s="18"/>
      <c r="D55" s="18"/>
      <c r="E55" s="14"/>
      <c r="F55" s="18"/>
      <c r="G55" s="18"/>
    </row>
    <row r="56" spans="1:7" ht="18" customHeight="1" x14ac:dyDescent="0.3">
      <c r="A56" s="3">
        <v>49</v>
      </c>
      <c r="B56" s="4"/>
      <c r="C56" s="10"/>
      <c r="D56" s="10"/>
      <c r="E56" s="6"/>
      <c r="F56" s="10"/>
      <c r="G56" s="10"/>
    </row>
    <row r="57" spans="1:7" ht="18" customHeight="1" x14ac:dyDescent="0.3">
      <c r="A57" s="11">
        <v>50</v>
      </c>
      <c r="B57" s="12"/>
      <c r="C57" s="18"/>
      <c r="D57" s="18"/>
      <c r="E57" s="14"/>
      <c r="F57" s="18"/>
      <c r="G57" s="18"/>
    </row>
    <row r="58" spans="1:7" ht="21.75" customHeight="1" x14ac:dyDescent="0.3">
      <c r="A58" s="73" t="s">
        <v>24</v>
      </c>
      <c r="B58" s="73"/>
      <c r="C58" s="73"/>
      <c r="D58" s="73"/>
      <c r="E58" s="26">
        <f>SUM(E8:E57)</f>
        <v>0</v>
      </c>
      <c r="F58" s="27"/>
      <c r="G58" s="27"/>
    </row>
  </sheetData>
  <mergeCells count="4">
    <mergeCell ref="A1:G2"/>
    <mergeCell ref="A3:G3"/>
    <mergeCell ref="A5:G5"/>
    <mergeCell ref="A58:D5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N24"/>
  <sheetViews>
    <sheetView showGridLines="0" zoomScale="70" zoomScaleNormal="70" workbookViewId="0">
      <selection activeCell="B6" sqref="B6"/>
    </sheetView>
  </sheetViews>
  <sheetFormatPr defaultColWidth="8.6640625" defaultRowHeight="14.4" x14ac:dyDescent="0.3"/>
  <cols>
    <col min="1" max="1" width="30" customWidth="1"/>
    <col min="2" max="14" width="20" customWidth="1"/>
  </cols>
  <sheetData>
    <row r="1" spans="1:14" ht="27.75" customHeight="1" x14ac:dyDescent="0.3">
      <c r="A1" s="75" t="s">
        <v>25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19.5" customHeight="1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4" spans="1:14" ht="21.75" customHeight="1" x14ac:dyDescent="0.3">
      <c r="A4" s="76" t="s">
        <v>26</v>
      </c>
      <c r="B4" s="76" t="s">
        <v>27</v>
      </c>
      <c r="C4" s="76" t="s">
        <v>28</v>
      </c>
      <c r="D4" s="76" t="s">
        <v>29</v>
      </c>
      <c r="E4" s="76" t="s">
        <v>30</v>
      </c>
      <c r="F4" s="76" t="s">
        <v>31</v>
      </c>
      <c r="G4" s="76" t="s">
        <v>32</v>
      </c>
      <c r="H4" s="76" t="s">
        <v>33</v>
      </c>
      <c r="I4" s="76" t="s">
        <v>34</v>
      </c>
      <c r="J4" s="76" t="s">
        <v>35</v>
      </c>
      <c r="K4" s="76" t="s">
        <v>36</v>
      </c>
      <c r="L4" s="76" t="s">
        <v>37</v>
      </c>
      <c r="M4" s="76" t="s">
        <v>38</v>
      </c>
      <c r="N4" s="77" t="s">
        <v>39</v>
      </c>
    </row>
    <row r="5" spans="1:14" ht="18" customHeight="1" x14ac:dyDescent="0.3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</row>
    <row r="6" spans="1:14" ht="19.5" customHeight="1" x14ac:dyDescent="0.3">
      <c r="A6" s="28" t="s">
        <v>40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30">
        <f>SUM(B6:M6)</f>
        <v>0</v>
      </c>
    </row>
    <row r="7" spans="1:14" ht="19.5" customHeight="1" x14ac:dyDescent="0.3">
      <c r="A7" s="31" t="s">
        <v>41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0">
        <f>SUM(B7:M7)</f>
        <v>0</v>
      </c>
    </row>
    <row r="8" spans="1:14" ht="19.5" customHeight="1" x14ac:dyDescent="0.3">
      <c r="A8" s="28" t="s">
        <v>42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30">
        <f>SUM(B8:M8)</f>
        <v>0</v>
      </c>
    </row>
    <row r="9" spans="1:14" ht="19.5" customHeight="1" x14ac:dyDescent="0.3">
      <c r="A9" s="31" t="s">
        <v>43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0">
        <f>SUM(B9:M9)</f>
        <v>0</v>
      </c>
    </row>
    <row r="10" spans="1:14" ht="19.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spans="1:14" ht="19.5" customHeight="1" x14ac:dyDescent="0.3">
      <c r="A11" s="31" t="s">
        <v>44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5">
        <f>SUM(B11:M11)</f>
        <v>0</v>
      </c>
    </row>
    <row r="12" spans="1:14" ht="19.5" customHeight="1" x14ac:dyDescent="0.3">
      <c r="A12" s="28" t="s">
        <v>45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5">
        <f>SUM(B12:M12)</f>
        <v>0</v>
      </c>
    </row>
    <row r="13" spans="1:14" ht="19.5" customHeight="1" x14ac:dyDescent="0.3">
      <c r="A13" s="31" t="s">
        <v>46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>
        <f>SUM(B13:M13)</f>
        <v>0</v>
      </c>
    </row>
    <row r="14" spans="1:14" ht="19.5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 ht="19.5" customHeight="1" x14ac:dyDescent="0.3">
      <c r="A15" s="37" t="s">
        <v>47</v>
      </c>
      <c r="B15" s="38">
        <f t="shared" ref="B15:M15" si="0">IFERROR(B11-B12,0)</f>
        <v>0</v>
      </c>
      <c r="C15" s="38">
        <f t="shared" si="0"/>
        <v>0</v>
      </c>
      <c r="D15" s="38">
        <f t="shared" si="0"/>
        <v>0</v>
      </c>
      <c r="E15" s="38">
        <f t="shared" si="0"/>
        <v>0</v>
      </c>
      <c r="F15" s="38">
        <f t="shared" si="0"/>
        <v>0</v>
      </c>
      <c r="G15" s="38">
        <f t="shared" si="0"/>
        <v>0</v>
      </c>
      <c r="H15" s="38">
        <f t="shared" si="0"/>
        <v>0</v>
      </c>
      <c r="I15" s="38">
        <f t="shared" si="0"/>
        <v>0</v>
      </c>
      <c r="J15" s="38">
        <f t="shared" si="0"/>
        <v>0</v>
      </c>
      <c r="K15" s="38">
        <f t="shared" si="0"/>
        <v>0</v>
      </c>
      <c r="L15" s="38">
        <f t="shared" si="0"/>
        <v>0</v>
      </c>
      <c r="M15" s="38">
        <f t="shared" si="0"/>
        <v>0</v>
      </c>
      <c r="N15" s="35">
        <f>SUM(B15:M15)</f>
        <v>0</v>
      </c>
    </row>
    <row r="16" spans="1:14" ht="19.5" customHeight="1" x14ac:dyDescent="0.3">
      <c r="A16" s="37" t="s">
        <v>48</v>
      </c>
      <c r="B16" s="38">
        <f t="shared" ref="B16:M16" si="1">IFERROR(B15-B13,0)</f>
        <v>0</v>
      </c>
      <c r="C16" s="38">
        <f t="shared" si="1"/>
        <v>0</v>
      </c>
      <c r="D16" s="38">
        <f t="shared" si="1"/>
        <v>0</v>
      </c>
      <c r="E16" s="38">
        <f t="shared" si="1"/>
        <v>0</v>
      </c>
      <c r="F16" s="38">
        <f t="shared" si="1"/>
        <v>0</v>
      </c>
      <c r="G16" s="38">
        <f t="shared" si="1"/>
        <v>0</v>
      </c>
      <c r="H16" s="38">
        <f t="shared" si="1"/>
        <v>0</v>
      </c>
      <c r="I16" s="38">
        <f t="shared" si="1"/>
        <v>0</v>
      </c>
      <c r="J16" s="38">
        <f t="shared" si="1"/>
        <v>0</v>
      </c>
      <c r="K16" s="38">
        <f t="shared" si="1"/>
        <v>0</v>
      </c>
      <c r="L16" s="38">
        <f t="shared" si="1"/>
        <v>0</v>
      </c>
      <c r="M16" s="38">
        <f t="shared" si="1"/>
        <v>0</v>
      </c>
      <c r="N16" s="35">
        <f>SUM(B16:M16)</f>
        <v>0</v>
      </c>
    </row>
    <row r="17" spans="1:14" ht="19.5" customHeight="1" x14ac:dyDescent="0.3">
      <c r="A17" s="31" t="s">
        <v>49</v>
      </c>
      <c r="B17" s="39">
        <f t="shared" ref="B17:M17" si="2">IFERROR(B16/B11,0)</f>
        <v>0</v>
      </c>
      <c r="C17" s="39">
        <f t="shared" si="2"/>
        <v>0</v>
      </c>
      <c r="D17" s="39">
        <f t="shared" si="2"/>
        <v>0</v>
      </c>
      <c r="E17" s="39">
        <f t="shared" si="2"/>
        <v>0</v>
      </c>
      <c r="F17" s="39">
        <f t="shared" si="2"/>
        <v>0</v>
      </c>
      <c r="G17" s="39">
        <f t="shared" si="2"/>
        <v>0</v>
      </c>
      <c r="H17" s="39">
        <f t="shared" si="2"/>
        <v>0</v>
      </c>
      <c r="I17" s="39">
        <f t="shared" si="2"/>
        <v>0</v>
      </c>
      <c r="J17" s="39">
        <f t="shared" si="2"/>
        <v>0</v>
      </c>
      <c r="K17" s="39">
        <f t="shared" si="2"/>
        <v>0</v>
      </c>
      <c r="L17" s="39">
        <f t="shared" si="2"/>
        <v>0</v>
      </c>
      <c r="M17" s="39">
        <f t="shared" si="2"/>
        <v>0</v>
      </c>
      <c r="N17" s="40">
        <f>IFERROR(AVERAGE(B17:M17),0)</f>
        <v>0</v>
      </c>
    </row>
    <row r="18" spans="1:14" ht="19.5" customHeight="1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</row>
    <row r="19" spans="1:14" ht="19.5" customHeight="1" x14ac:dyDescent="0.3">
      <c r="A19" s="31" t="s">
        <v>50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0">
        <f>SUM(B19:M19)</f>
        <v>0</v>
      </c>
    </row>
    <row r="20" spans="1:14" ht="19.5" customHeight="1" x14ac:dyDescent="0.3">
      <c r="A20" s="28" t="s">
        <v>51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30">
        <f>SUM(B20:M20)</f>
        <v>0</v>
      </c>
    </row>
    <row r="21" spans="1:14" ht="19.5" customHeight="1" x14ac:dyDescent="0.3">
      <c r="A21" s="31" t="s">
        <v>52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0">
        <f>SUM(B21:M21)</f>
        <v>0</v>
      </c>
    </row>
    <row r="22" spans="1:14" ht="19.5" customHeight="1" x14ac:dyDescent="0.3">
      <c r="A22" s="28" t="s">
        <v>53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5">
        <f>SUM(B22:M22)</f>
        <v>0</v>
      </c>
    </row>
    <row r="23" spans="1:14" ht="19.5" customHeight="1" x14ac:dyDescent="0.3">
      <c r="A23" s="31" t="s">
        <v>54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5">
        <f>SUM(B23:M23)</f>
        <v>0</v>
      </c>
    </row>
    <row r="24" spans="1:14" x14ac:dyDescent="0.3">
      <c r="A24" s="74" t="s">
        <v>55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</row>
  </sheetData>
  <mergeCells count="16">
    <mergeCell ref="A24:N24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288D1"/>
  </sheetPr>
  <dimension ref="A1:J31"/>
  <sheetViews>
    <sheetView showGridLines="0" zoomScale="70" zoomScaleNormal="70" workbookViewId="0">
      <selection activeCell="E14" sqref="E14"/>
    </sheetView>
  </sheetViews>
  <sheetFormatPr defaultColWidth="8.6640625" defaultRowHeight="14.4" x14ac:dyDescent="0.3"/>
  <cols>
    <col min="1" max="1" width="3" customWidth="1"/>
    <col min="2" max="2" width="28" customWidth="1"/>
    <col min="3" max="3" width="20" customWidth="1"/>
    <col min="4" max="4" width="12" bestFit="1" customWidth="1"/>
    <col min="5" max="5" width="28" customWidth="1"/>
    <col min="6" max="6" width="20" customWidth="1"/>
    <col min="7" max="7" width="3" customWidth="1"/>
    <col min="8" max="8" width="28" customWidth="1"/>
    <col min="9" max="9" width="20" customWidth="1"/>
    <col min="10" max="10" width="3" customWidth="1"/>
  </cols>
  <sheetData>
    <row r="1" spans="1:10" ht="12" customHeight="1" x14ac:dyDescent="0.3"/>
    <row r="2" spans="1:10" ht="36" customHeight="1" x14ac:dyDescent="0.3">
      <c r="A2" s="78" t="s">
        <v>56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ht="12" customHeight="1" x14ac:dyDescent="0.3"/>
    <row r="4" spans="1:10" ht="19.5" customHeight="1" x14ac:dyDescent="0.3">
      <c r="A4" s="79" t="s">
        <v>57</v>
      </c>
      <c r="B4" s="79"/>
      <c r="C4" s="79"/>
      <c r="D4" s="79"/>
      <c r="E4" s="79"/>
      <c r="F4" s="79"/>
      <c r="G4" s="79"/>
      <c r="H4" s="79"/>
      <c r="I4" s="79"/>
      <c r="J4" s="79"/>
    </row>
    <row r="5" spans="1:10" ht="18" customHeight="1" x14ac:dyDescent="0.3"/>
    <row r="6" spans="1:10" ht="21.75" customHeight="1" x14ac:dyDescent="0.3">
      <c r="B6" s="80" t="s">
        <v>58</v>
      </c>
      <c r="C6" s="80"/>
      <c r="E6" s="81" t="s">
        <v>59</v>
      </c>
      <c r="F6" s="81"/>
      <c r="H6" s="82" t="s">
        <v>60</v>
      </c>
      <c r="I6" s="82"/>
    </row>
    <row r="7" spans="1:10" ht="42" customHeight="1" x14ac:dyDescent="0.3">
      <c r="B7" s="83">
        <f>'Monthly Report'!B11</f>
        <v>0</v>
      </c>
      <c r="C7" s="83"/>
      <c r="E7" s="84">
        <f>'Monthly Report'!B16</f>
        <v>0</v>
      </c>
      <c r="F7" s="84"/>
      <c r="H7" s="85">
        <f>IFERROR('Monthly Report'!B17,0)</f>
        <v>0</v>
      </c>
      <c r="I7" s="85"/>
    </row>
    <row r="8" spans="1:10" ht="21.75" customHeight="1" x14ac:dyDescent="0.3">
      <c r="B8" s="80" t="s">
        <v>61</v>
      </c>
      <c r="C8" s="80"/>
      <c r="E8" s="81" t="s">
        <v>62</v>
      </c>
      <c r="F8" s="81"/>
      <c r="H8" s="82" t="s">
        <v>63</v>
      </c>
      <c r="I8" s="82"/>
    </row>
    <row r="9" spans="1:10" ht="42" customHeight="1" x14ac:dyDescent="0.3">
      <c r="B9" s="83">
        <f>'Monthly Report'!N11</f>
        <v>0</v>
      </c>
      <c r="C9" s="83"/>
      <c r="E9" s="84">
        <f>'Monthly Report'!N16</f>
        <v>0</v>
      </c>
      <c r="F9" s="84"/>
      <c r="H9" s="88">
        <f>'Monthly Report'!N9</f>
        <v>0</v>
      </c>
      <c r="I9" s="88"/>
    </row>
    <row r="10" spans="1:10" ht="12" customHeight="1" x14ac:dyDescent="0.3"/>
    <row r="11" spans="1:10" ht="21.75" customHeight="1" x14ac:dyDescent="0.3">
      <c r="B11" s="89" t="s">
        <v>64</v>
      </c>
      <c r="C11" s="89"/>
      <c r="D11" s="89"/>
      <c r="E11" s="89"/>
      <c r="F11" s="89"/>
      <c r="G11" s="89"/>
      <c r="H11" s="89"/>
      <c r="I11" s="89"/>
    </row>
    <row r="12" spans="1:10" ht="19.5" customHeight="1" x14ac:dyDescent="0.3">
      <c r="B12" s="41" t="s">
        <v>65</v>
      </c>
      <c r="C12" s="41" t="s">
        <v>66</v>
      </c>
      <c r="D12" s="41" t="s">
        <v>67</v>
      </c>
      <c r="E12" s="41" t="s">
        <v>68</v>
      </c>
      <c r="F12" s="41" t="s">
        <v>69</v>
      </c>
    </row>
    <row r="13" spans="1:10" ht="18" customHeight="1" x14ac:dyDescent="0.3">
      <c r="B13" s="42" t="s">
        <v>70</v>
      </c>
      <c r="C13" s="43">
        <f>'Monthly Report'!B11</f>
        <v>0</v>
      </c>
      <c r="D13" s="44">
        <f>'Monthly Report'!B16</f>
        <v>0</v>
      </c>
      <c r="E13" s="45">
        <f>IFERROR('Monthly Report'!B17,0)</f>
        <v>0</v>
      </c>
      <c r="F13" s="46">
        <f>'Monthly Report'!B9</f>
        <v>0</v>
      </c>
    </row>
    <row r="14" spans="1:10" ht="18" customHeight="1" x14ac:dyDescent="0.3">
      <c r="B14" s="47" t="s">
        <v>71</v>
      </c>
      <c r="C14" s="48">
        <f>'Monthly Report'!C11</f>
        <v>0</v>
      </c>
      <c r="D14" s="49">
        <f>'Monthly Report'!C16</f>
        <v>0</v>
      </c>
      <c r="E14" s="50">
        <f>IFERROR('Monthly Report'!C17,0)</f>
        <v>0</v>
      </c>
      <c r="F14" s="51">
        <f>'Monthly Report'!C9</f>
        <v>0</v>
      </c>
    </row>
    <row r="15" spans="1:10" ht="18" customHeight="1" x14ac:dyDescent="0.3">
      <c r="B15" s="42" t="s">
        <v>72</v>
      </c>
      <c r="C15" s="43">
        <f>'Monthly Report'!D11</f>
        <v>0</v>
      </c>
      <c r="D15" s="44">
        <f>'Monthly Report'!D16</f>
        <v>0</v>
      </c>
      <c r="E15" s="45">
        <f>IFERROR('Monthly Report'!D17,0)</f>
        <v>0</v>
      </c>
      <c r="F15" s="46">
        <f>'Monthly Report'!D9</f>
        <v>0</v>
      </c>
    </row>
    <row r="16" spans="1:10" ht="18" customHeight="1" x14ac:dyDescent="0.3">
      <c r="B16" s="47" t="s">
        <v>3</v>
      </c>
      <c r="C16" s="48">
        <f>'Monthly Report'!E11</f>
        <v>0</v>
      </c>
      <c r="D16" s="49">
        <f>'Monthly Report'!E16</f>
        <v>0</v>
      </c>
      <c r="E16" s="50">
        <f>IFERROR('Monthly Report'!E17,0)</f>
        <v>0</v>
      </c>
      <c r="F16" s="51">
        <f>'Monthly Report'!E9</f>
        <v>0</v>
      </c>
    </row>
    <row r="17" spans="2:9" ht="18" customHeight="1" x14ac:dyDescent="0.3">
      <c r="B17" s="42" t="s">
        <v>31</v>
      </c>
      <c r="C17" s="43">
        <f>'Monthly Report'!F11</f>
        <v>0</v>
      </c>
      <c r="D17" s="44">
        <f>'Monthly Report'!F16</f>
        <v>0</v>
      </c>
      <c r="E17" s="45">
        <f>IFERROR('Monthly Report'!F17,0)</f>
        <v>0</v>
      </c>
      <c r="F17" s="46">
        <f>'Monthly Report'!F9</f>
        <v>0</v>
      </c>
    </row>
    <row r="18" spans="2:9" ht="18" customHeight="1" x14ac:dyDescent="0.3">
      <c r="B18" s="47" t="s">
        <v>73</v>
      </c>
      <c r="C18" s="48">
        <f>'Monthly Report'!G11</f>
        <v>0</v>
      </c>
      <c r="D18" s="49">
        <f>'Monthly Report'!G16</f>
        <v>0</v>
      </c>
      <c r="E18" s="50">
        <f>IFERROR('Monthly Report'!G17,0)</f>
        <v>0</v>
      </c>
      <c r="F18" s="51">
        <f>'Monthly Report'!G9</f>
        <v>0</v>
      </c>
    </row>
    <row r="19" spans="2:9" ht="18" customHeight="1" x14ac:dyDescent="0.3">
      <c r="B19" s="42" t="s">
        <v>74</v>
      </c>
      <c r="C19" s="43">
        <f>'Monthly Report'!H11</f>
        <v>0</v>
      </c>
      <c r="D19" s="44">
        <f>'Monthly Report'!H16</f>
        <v>0</v>
      </c>
      <c r="E19" s="45">
        <f>IFERROR('Monthly Report'!H17,0)</f>
        <v>0</v>
      </c>
      <c r="F19" s="46">
        <f>'Monthly Report'!H9</f>
        <v>0</v>
      </c>
    </row>
    <row r="20" spans="2:9" ht="18" customHeight="1" x14ac:dyDescent="0.3">
      <c r="B20" s="47" t="s">
        <v>75</v>
      </c>
      <c r="C20" s="48">
        <f>'Monthly Report'!I11</f>
        <v>0</v>
      </c>
      <c r="D20" s="49">
        <f>'Monthly Report'!I16</f>
        <v>0</v>
      </c>
      <c r="E20" s="50">
        <f>IFERROR('Monthly Report'!I17,0)</f>
        <v>0</v>
      </c>
      <c r="F20" s="51">
        <f>'Monthly Report'!I9</f>
        <v>0</v>
      </c>
    </row>
    <row r="21" spans="2:9" ht="18" customHeight="1" x14ac:dyDescent="0.3">
      <c r="B21" s="42" t="s">
        <v>76</v>
      </c>
      <c r="C21" s="43">
        <f>'Monthly Report'!J11</f>
        <v>0</v>
      </c>
      <c r="D21" s="44">
        <f>'Monthly Report'!J16</f>
        <v>0</v>
      </c>
      <c r="E21" s="45">
        <f>IFERROR('Monthly Report'!J17,0)</f>
        <v>0</v>
      </c>
      <c r="F21" s="46">
        <f>'Monthly Report'!J9</f>
        <v>0</v>
      </c>
    </row>
    <row r="22" spans="2:9" ht="18" customHeight="1" x14ac:dyDescent="0.3">
      <c r="B22" s="47" t="s">
        <v>77</v>
      </c>
      <c r="C22" s="48">
        <f>'Monthly Report'!K11</f>
        <v>0</v>
      </c>
      <c r="D22" s="49">
        <f>'Monthly Report'!K16</f>
        <v>0</v>
      </c>
      <c r="E22" s="50">
        <f>IFERROR('Monthly Report'!K17,0)</f>
        <v>0</v>
      </c>
      <c r="F22" s="51">
        <f>'Monthly Report'!K9</f>
        <v>0</v>
      </c>
    </row>
    <row r="23" spans="2:9" ht="18" customHeight="1" x14ac:dyDescent="0.3">
      <c r="B23" s="42" t="s">
        <v>78</v>
      </c>
      <c r="C23" s="43">
        <f>'Monthly Report'!L11</f>
        <v>0</v>
      </c>
      <c r="D23" s="44">
        <f>'Monthly Report'!L16</f>
        <v>0</v>
      </c>
      <c r="E23" s="45">
        <f>IFERROR('Monthly Report'!L17,0)</f>
        <v>0</v>
      </c>
      <c r="F23" s="46">
        <f>'Monthly Report'!L9</f>
        <v>0</v>
      </c>
    </row>
    <row r="24" spans="2:9" ht="18" customHeight="1" x14ac:dyDescent="0.3">
      <c r="B24" s="47" t="s">
        <v>79</v>
      </c>
      <c r="C24" s="48">
        <f>'Monthly Report'!M11</f>
        <v>0</v>
      </c>
      <c r="D24" s="49">
        <f>'Monthly Report'!M16</f>
        <v>0</v>
      </c>
      <c r="E24" s="50">
        <f>IFERROR('Monthly Report'!M17,0)</f>
        <v>0</v>
      </c>
      <c r="F24" s="51">
        <f>'Monthly Report'!M9</f>
        <v>0</v>
      </c>
    </row>
    <row r="25" spans="2:9" ht="21.75" customHeight="1" x14ac:dyDescent="0.3">
      <c r="B25" s="52" t="s">
        <v>80</v>
      </c>
      <c r="C25" s="22">
        <f>SUM(C13:C24)</f>
        <v>0</v>
      </c>
      <c r="D25" s="22">
        <f>SUM(D13:D24)</f>
        <v>0</v>
      </c>
      <c r="E25" s="53">
        <f>AVERAGE(E13:E24)</f>
        <v>0</v>
      </c>
      <c r="F25" s="21">
        <f>SUM(F13:F24)</f>
        <v>0</v>
      </c>
    </row>
    <row r="26" spans="2:9" ht="12" customHeight="1" x14ac:dyDescent="0.3"/>
    <row r="27" spans="2:9" ht="21.75" customHeight="1" x14ac:dyDescent="0.3">
      <c r="B27" s="90" t="s">
        <v>81</v>
      </c>
      <c r="C27" s="90"/>
      <c r="D27" s="90"/>
      <c r="E27" s="90"/>
      <c r="F27" s="90"/>
      <c r="G27" s="90"/>
      <c r="H27" s="90"/>
      <c r="I27" s="90"/>
    </row>
    <row r="28" spans="2:9" ht="39.75" customHeight="1" x14ac:dyDescent="0.3">
      <c r="B28" s="54" t="s">
        <v>82</v>
      </c>
      <c r="C28" s="86" t="s">
        <v>83</v>
      </c>
      <c r="D28" s="86"/>
      <c r="E28" s="86"/>
      <c r="F28" s="86"/>
      <c r="G28" s="86"/>
      <c r="H28" s="86"/>
      <c r="I28" s="86"/>
    </row>
    <row r="29" spans="2:9" ht="39.75" customHeight="1" x14ac:dyDescent="0.3">
      <c r="B29" s="54" t="s">
        <v>84</v>
      </c>
      <c r="C29" s="87" t="s">
        <v>85</v>
      </c>
      <c r="D29" s="87"/>
      <c r="E29" s="87"/>
      <c r="F29" s="87"/>
      <c r="G29" s="87"/>
      <c r="H29" s="87"/>
      <c r="I29" s="87"/>
    </row>
    <row r="30" spans="2:9" ht="39.75" customHeight="1" x14ac:dyDescent="0.3">
      <c r="B30" s="54" t="s">
        <v>86</v>
      </c>
      <c r="C30" s="86" t="s">
        <v>87</v>
      </c>
      <c r="D30" s="86"/>
      <c r="E30" s="86"/>
      <c r="F30" s="86"/>
      <c r="G30" s="86"/>
      <c r="H30" s="86"/>
      <c r="I30" s="86"/>
    </row>
    <row r="31" spans="2:9" ht="39.75" customHeight="1" x14ac:dyDescent="0.3">
      <c r="B31" s="54" t="s">
        <v>88</v>
      </c>
      <c r="C31" s="87" t="s">
        <v>89</v>
      </c>
      <c r="D31" s="87"/>
      <c r="E31" s="87"/>
      <c r="F31" s="87"/>
      <c r="G31" s="87"/>
      <c r="H31" s="87"/>
      <c r="I31" s="87"/>
    </row>
  </sheetData>
  <mergeCells count="20">
    <mergeCell ref="C28:I28"/>
    <mergeCell ref="C29:I29"/>
    <mergeCell ref="C30:I30"/>
    <mergeCell ref="C31:I31"/>
    <mergeCell ref="B9:C9"/>
    <mergeCell ref="E9:F9"/>
    <mergeCell ref="H9:I9"/>
    <mergeCell ref="B11:I11"/>
    <mergeCell ref="B27:I27"/>
    <mergeCell ref="B7:C7"/>
    <mergeCell ref="E7:F7"/>
    <mergeCell ref="H7:I7"/>
    <mergeCell ref="B8:C8"/>
    <mergeCell ref="E8:F8"/>
    <mergeCell ref="H8:I8"/>
    <mergeCell ref="A2:J2"/>
    <mergeCell ref="A4:J4"/>
    <mergeCell ref="B6:C6"/>
    <mergeCell ref="E6:F6"/>
    <mergeCell ref="H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9A825"/>
  </sheetPr>
  <dimension ref="A1:E10"/>
  <sheetViews>
    <sheetView showGridLines="0" zoomScale="70" zoomScaleNormal="70" workbookViewId="0">
      <selection activeCell="B6" sqref="B6"/>
    </sheetView>
  </sheetViews>
  <sheetFormatPr defaultColWidth="8.6640625" defaultRowHeight="14.4" x14ac:dyDescent="0.3"/>
  <cols>
    <col min="1" max="1" width="5" customWidth="1"/>
    <col min="2" max="2" width="30" customWidth="1"/>
    <col min="3" max="4" width="18" customWidth="1"/>
    <col min="5" max="5" width="24" customWidth="1"/>
  </cols>
  <sheetData>
    <row r="1" spans="1:5" ht="27.75" customHeight="1" x14ac:dyDescent="0.3">
      <c r="A1" s="91" t="s">
        <v>90</v>
      </c>
      <c r="B1" s="91"/>
      <c r="C1" s="91"/>
      <c r="D1" s="91"/>
      <c r="E1" s="91"/>
    </row>
    <row r="2" spans="1:5" ht="19.5" customHeight="1" x14ac:dyDescent="0.3">
      <c r="A2" s="91"/>
      <c r="B2" s="91"/>
      <c r="C2" s="91"/>
      <c r="D2" s="91"/>
      <c r="E2" s="91"/>
    </row>
    <row r="3" spans="1:5" ht="21.75" customHeight="1" x14ac:dyDescent="0.3">
      <c r="A3" s="55" t="s">
        <v>5</v>
      </c>
      <c r="B3" s="55" t="s">
        <v>91</v>
      </c>
      <c r="C3" s="55" t="s">
        <v>92</v>
      </c>
      <c r="D3" s="55" t="s">
        <v>93</v>
      </c>
      <c r="E3" s="55" t="s">
        <v>14</v>
      </c>
    </row>
    <row r="4" spans="1:5" ht="19.5" customHeight="1" x14ac:dyDescent="0.3">
      <c r="A4" s="56">
        <v>1</v>
      </c>
      <c r="B4" s="42" t="s">
        <v>107</v>
      </c>
      <c r="C4" s="57">
        <v>25</v>
      </c>
      <c r="D4" s="58" t="s">
        <v>94</v>
      </c>
      <c r="E4" s="59" t="s">
        <v>95</v>
      </c>
    </row>
    <row r="5" spans="1:5" ht="19.5" customHeight="1" x14ac:dyDescent="0.3">
      <c r="A5" s="60">
        <v>2</v>
      </c>
      <c r="B5" s="42" t="s">
        <v>106</v>
      </c>
      <c r="C5" s="61">
        <v>30</v>
      </c>
      <c r="D5" s="62" t="s">
        <v>94</v>
      </c>
      <c r="E5" s="63" t="s">
        <v>95</v>
      </c>
    </row>
    <row r="6" spans="1:5" ht="19.5" customHeight="1" x14ac:dyDescent="0.3">
      <c r="A6" s="56">
        <v>3</v>
      </c>
      <c r="B6" s="42" t="s">
        <v>108</v>
      </c>
      <c r="C6" s="57">
        <v>35</v>
      </c>
      <c r="D6" s="58" t="s">
        <v>94</v>
      </c>
      <c r="E6" s="59" t="s">
        <v>95</v>
      </c>
    </row>
    <row r="7" spans="1:5" ht="19.5" customHeight="1" x14ac:dyDescent="0.3">
      <c r="A7" s="60">
        <v>4</v>
      </c>
      <c r="B7" s="47" t="s">
        <v>96</v>
      </c>
      <c r="C7" s="61">
        <v>50</v>
      </c>
      <c r="D7" s="62" t="s">
        <v>97</v>
      </c>
      <c r="E7" s="63" t="s">
        <v>98</v>
      </c>
    </row>
    <row r="8" spans="1:5" ht="19.5" customHeight="1" x14ac:dyDescent="0.3">
      <c r="A8" s="56">
        <v>5</v>
      </c>
      <c r="B8" s="42" t="s">
        <v>99</v>
      </c>
      <c r="C8" s="57">
        <v>80</v>
      </c>
      <c r="D8" s="58" t="s">
        <v>97</v>
      </c>
      <c r="E8" s="59" t="s">
        <v>98</v>
      </c>
    </row>
    <row r="9" spans="1:5" ht="19.5" customHeight="1" x14ac:dyDescent="0.3">
      <c r="A9" s="60">
        <v>6</v>
      </c>
      <c r="B9" s="47" t="s">
        <v>100</v>
      </c>
      <c r="C9" s="61">
        <v>20</v>
      </c>
      <c r="D9" s="62" t="s">
        <v>101</v>
      </c>
      <c r="E9" s="63" t="s">
        <v>102</v>
      </c>
    </row>
    <row r="10" spans="1:5" ht="19.5" customHeight="1" x14ac:dyDescent="0.3">
      <c r="A10" s="56">
        <v>7</v>
      </c>
      <c r="B10" s="42" t="s">
        <v>103</v>
      </c>
      <c r="C10" s="57">
        <v>10</v>
      </c>
      <c r="D10" s="58" t="s">
        <v>104</v>
      </c>
      <c r="E10" s="59" t="s">
        <v>105</v>
      </c>
    </row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Sales Log</vt:lpstr>
      <vt:lpstr>Expenses Tracker</vt:lpstr>
      <vt:lpstr>Monthly Report</vt:lpstr>
      <vt:lpstr>📊 SUMMARY</vt:lpstr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ramon maningo</cp:lastModifiedBy>
  <cp:revision>0</cp:revision>
  <dcterms:created xsi:type="dcterms:W3CDTF">2026-04-27T15:56:31Z</dcterms:created>
  <dcterms:modified xsi:type="dcterms:W3CDTF">2026-05-17T09:39:25Z</dcterms:modified>
  <dc:language>en-US</dc:language>
</cp:coreProperties>
</file>